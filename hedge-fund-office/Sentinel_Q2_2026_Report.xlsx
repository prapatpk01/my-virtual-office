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rformance History" sheetId="2" state="visible" r:id="rId2"/>
    <sheet name="Monthly Cashflow" sheetId="3" state="visible" r:id="rId3"/>
    <sheet name="Portfolio Holdings" sheetId="4" state="visible" r:id="rId4"/>
    <sheet name="Dividend &amp; Payout" sheetId="5" state="visible" r:id="rId5"/>
    <sheet name="Rebalance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9A825"/>
      <sz val="11"/>
    </font>
    <font>
      <name val="Calibri"/>
      <b val="1"/>
      <color rgb="000D47A1"/>
      <sz val="10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212121"/>
      <sz val="10"/>
    </font>
    <font>
      <name val="Calibri"/>
      <b val="1"/>
      <color rgb="001B5E20"/>
      <sz val="10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sz val="10"/>
    </font>
    <font>
      <name val="Calibri"/>
      <color rgb="001B5E20"/>
      <sz val="10"/>
    </font>
    <font>
      <name val="Calibri"/>
      <b val="1"/>
      <sz val="10"/>
    </font>
    <font>
      <name val="Calibri"/>
      <color rgb="00B71C1C"/>
      <sz val="10"/>
    </font>
    <font>
      <name val="Calibri"/>
      <b val="1"/>
      <color rgb="00B71C1C"/>
      <sz val="10"/>
    </font>
    <font>
      <name val="Calibri"/>
      <i val="1"/>
      <color rgb="00B71C1C"/>
      <sz val="9"/>
    </font>
    <font>
      <name val="Calibri"/>
      <b val="1"/>
      <color rgb="000D47A1"/>
      <sz val="11"/>
    </font>
  </fonts>
  <fills count="1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9A825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00695C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4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left" vertical="center"/>
    </xf>
    <xf numFmtId="4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center" vertical="center"/>
    </xf>
    <xf numFmtId="1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4" fontId="10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4" fontId="12" fillId="4" borderId="1" applyAlignment="1" pivotButton="0" quotePrefix="0" xfId="0">
      <alignment horizontal="center" vertical="center"/>
    </xf>
    <xf numFmtId="0" fontId="3" fillId="0" borderId="0" pivotButton="0" quotePrefix="0" xfId="0"/>
    <xf numFmtId="10" fontId="0" fillId="0" borderId="0" pivotButton="0" quotePrefix="0" xfId="0"/>
    <xf numFmtId="4" fontId="1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" fontId="0" fillId="0" borderId="0" pivotButton="0" quotePrefix="0" xfId="0"/>
    <xf numFmtId="0" fontId="4" fillId="7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0" fontId="13" fillId="5" borderId="1" applyAlignment="1" pivotButton="0" quotePrefix="0" xfId="0">
      <alignment horizontal="center" vertical="center"/>
    </xf>
    <xf numFmtId="10" fontId="13" fillId="4" borderId="1" applyAlignment="1" pivotButton="0" quotePrefix="0" xfId="0">
      <alignment horizontal="center" vertical="center"/>
    </xf>
    <xf numFmtId="3" fontId="8" fillId="2" borderId="1" applyAlignment="1" pivotButton="0" quotePrefix="0" xfId="0">
      <alignment horizontal="center" vertical="center"/>
    </xf>
    <xf numFmtId="10" fontId="8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center" vertical="center"/>
    </xf>
    <xf numFmtId="10" fontId="13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10" fontId="11" fillId="8" borderId="1" applyAlignment="1" pivotButton="0" quotePrefix="0" xfId="0">
      <alignment horizontal="center" vertical="center"/>
    </xf>
    <xf numFmtId="10" fontId="1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10" fontId="5" fillId="9" borderId="1" applyAlignment="1" pivotButton="0" quotePrefix="0" xfId="0">
      <alignment horizontal="center" vertical="center"/>
    </xf>
    <xf numFmtId="10" fontId="13" fillId="9" borderId="1" applyAlignment="1" pivotButton="0" quotePrefix="0" xfId="0">
      <alignment horizontal="center" vertical="center"/>
    </xf>
    <xf numFmtId="10" fontId="11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10" fontId="11" fillId="10" borderId="1" applyAlignment="1" pivotButton="0" quotePrefix="0" xfId="0">
      <alignment horizontal="center" vertical="center"/>
    </xf>
    <xf numFmtId="164" fontId="0" fillId="0" borderId="0" pivotButton="0" quotePrefix="0" xfId="0"/>
    <xf numFmtId="3" fontId="10" fillId="4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0" fontId="12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4" fontId="13" fillId="4" borderId="1" applyAlignment="1" pivotButton="0" quotePrefix="0" xfId="0">
      <alignment horizontal="center" vertical="center"/>
    </xf>
    <xf numFmtId="164" fontId="14" fillId="4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15" fillId="0" borderId="0" pivotButton="0" quotePrefix="0" xfId="0"/>
    <xf numFmtId="0" fontId="4" fillId="11" borderId="0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4" fontId="5" fillId="12" borderId="1" applyAlignment="1" pivotButton="0" quotePrefix="0" xfId="0">
      <alignment horizontal="center" vertical="center"/>
    </xf>
    <xf numFmtId="10" fontId="13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3" fontId="5" fillId="9" borderId="1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NAV Growth — Sentinel Fund</a:t>
            </a:r>
          </a:p>
        </rich>
      </tx>
    </title>
    <plotArea>
      <lineChart>
        <grouping val="standard"/>
        <ser>
          <idx val="0"/>
          <order val="0"/>
          <tx>
            <strRef>
              <f>'Performance History'!B13</f>
            </strRef>
          </tx>
          <spPr>
            <a:ln w="20000">
              <a:solidFill>
                <a:srgbClr val="0D47A1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'Performance History'!$A$14:$A$17</f>
            </numRef>
          </cat>
          <val>
            <numRef>
              <f>'Performance History'!$B$14:$B$17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Returns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History'!F13</f>
            </strRef>
          </tx>
          <spPr>
            <a:solidFill>
              <a:srgbClr val="0D47A1"/>
            </a:solidFill>
            <a:ln>
              <a:prstDash val="solid"/>
            </a:ln>
          </spPr>
          <cat>
            <numRef>
              <f>'Performance History'!$E$14:$E$16</f>
            </numRef>
          </cat>
          <val>
            <numRef>
              <f>'Performance History'!$F$14:$F$16</f>
            </numRef>
          </val>
        </ser>
        <ser>
          <idx val="1"/>
          <order val="1"/>
          <tx>
            <strRef>
              <f>'Performance History'!G13</f>
            </strRef>
          </tx>
          <spPr>
            <a:solidFill>
              <a:srgbClr val="F9A825"/>
            </a:solidFill>
            <a:ln>
              <a:prstDash val="solid"/>
            </a:ln>
          </spPr>
          <cat>
            <numRef>
              <f>'Performance History'!$E$14:$E$16</f>
            </numRef>
          </cat>
          <val>
            <numRef>
              <f>'Performance History'!$G$14:$G$16</f>
            </numRef>
          </val>
        </ser>
        <ser>
          <idx val="2"/>
          <order val="2"/>
          <tx>
            <strRef>
              <f>'Performance History'!H13</f>
            </strRef>
          </tx>
          <spPr>
            <a:solidFill>
              <a:srgbClr val="00695C"/>
            </a:solidFill>
            <a:ln>
              <a:prstDash val="solid"/>
            </a:ln>
          </spPr>
          <cat>
            <numRef>
              <f>'Performance History'!$E$14:$E$16</f>
            </numRef>
          </cat>
          <val>
            <numRef>
              <f>'Performance History'!$H$14:$H$16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Dividend vs Withdrawal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Cashflow'!B17</f>
            </strRef>
          </tx>
          <spPr>
            <a:solidFill>
              <a:srgbClr val="00695C"/>
            </a:solidFill>
            <a:ln>
              <a:prstDash val="solid"/>
            </a:ln>
          </spPr>
          <cat>
            <numRef>
              <f>'Monthly Cashflow'!$A$18:$A$25</f>
            </numRef>
          </cat>
          <val>
            <numRef>
              <f>'Monthly Cashflow'!$B$18:$B$25</f>
            </numRef>
          </val>
        </ser>
        <ser>
          <idx val="1"/>
          <order val="1"/>
          <tx>
            <strRef>
              <f>'Monthly Cashflow'!C17</f>
            </strRef>
          </tx>
          <spPr>
            <a:solidFill>
              <a:srgbClr val="B71C1C"/>
            </a:solidFill>
            <a:ln>
              <a:prstDash val="solid"/>
            </a:ln>
          </spPr>
          <cat>
            <numRef>
              <f>'Monthly Cashflow'!$A$18:$A$25</f>
            </numRef>
          </cat>
          <val>
            <numRef>
              <f>'Monthly Cashflow'!$C$18:$C$25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Dividend Income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Cashflow'!G17</f>
            </strRef>
          </tx>
          <spPr>
            <a:ln w="25000">
              <a:solidFill>
                <a:srgbClr val="F9A825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'Monthly Cashflow'!$F$18:$F$25</f>
            </numRef>
          </cat>
          <val>
            <numRef>
              <f>'Monthly Cashflow'!$G$18:$G$25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Portfolio Allocation — 30 Jun 2026</a:t>
            </a:r>
          </a:p>
        </rich>
      </tx>
    </title>
    <plotArea>
      <pieChart>
        <varyColors val="1"/>
        <ser>
          <idx val="0"/>
          <order val="0"/>
          <tx>
            <strRef>
              <f>'Portfolio Holdings'!B34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D47A1"/>
              </a:solidFill>
              <a:ln>
                <a:prstDash val="solid"/>
              </a:ln>
            </spPr>
          </dPt>
          <dPt>
            <idx val="1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2"/>
            <spPr>
              <a:solidFill>
                <a:srgbClr val="00695C"/>
              </a:solidFill>
              <a:ln>
                <a:prstDash val="solid"/>
              </a:ln>
            </spPr>
          </dPt>
          <dPt>
            <idx val="3"/>
            <spPr>
              <a:solidFill>
                <a:srgbClr val="E65100"/>
              </a:solidFill>
              <a:ln>
                <a:prstDash val="solid"/>
              </a:ln>
            </spPr>
          </dPt>
          <val>
            <numRef>
              <f>'Portfolio Holdings'!$B$35:$B$38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Allocation by Asset Class</a:t>
            </a:r>
          </a:p>
        </rich>
      </tx>
    </title>
    <plotArea>
      <pieChart>
        <varyColors val="1"/>
        <ser>
          <idx val="0"/>
          <order val="0"/>
          <tx>
            <strRef>
              <f>'Portfolio Holdings'!E34</f>
            </strRef>
          </tx>
          <spPr>
            <a:ln>
              <a:prstDash val="solid"/>
            </a:ln>
          </spPr>
          <val>
            <numRef>
              <f>'Portfolio Holdings'!$E$35:$E$41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Dividend Income — Actual &amp; Forward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'Dividend &amp; Payout'!B36</f>
            </strRef>
          </tx>
          <spPr>
            <a:solidFill>
              <a:srgbClr val="00695C"/>
            </a:solidFill>
            <a:ln>
              <a:prstDash val="solid"/>
            </a:ln>
          </spPr>
          <cat>
            <numRef>
              <f>'Dividend &amp; Payout'!$A$37:$A$50</f>
            </numRef>
          </cat>
          <val>
            <numRef>
              <f>'Dividend &amp; Payout'!$B$37:$B$50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Dividend Payout vs Reinvestment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'Dividend &amp; Payout'!H36</f>
            </strRef>
          </tx>
          <spPr>
            <a:solidFill>
              <a:srgbClr val="00695C"/>
            </a:solidFill>
            <a:ln>
              <a:prstDash val="solid"/>
            </a:ln>
          </spPr>
          <cat>
            <numRef>
              <f>'Dividend &amp; Payout'!$G$37:$G$39</f>
            </numRef>
          </cat>
          <val>
            <numRef>
              <f>'Dividend &amp; Payout'!$H$37:$H$39</f>
            </numRef>
          </val>
        </ser>
        <ser>
          <idx val="1"/>
          <order val="1"/>
          <tx>
            <strRef>
              <f>'Dividend &amp; Payout'!I36</f>
            </strRef>
          </tx>
          <spPr>
            <a:solidFill>
              <a:srgbClr val="E53935"/>
            </a:solidFill>
            <a:ln>
              <a:prstDash val="solid"/>
            </a:ln>
          </spPr>
          <cat>
            <numRef>
              <f>'Dividend &amp; Payout'!$G$37:$G$39</f>
            </numRef>
          </cat>
          <val>
            <numRef>
              <f>'Dividend &amp; Payout'!$I$37:$I$39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BEFORE (4 Portfolios)</a:t>
            </a:r>
          </a:p>
        </rich>
      </tx>
    </title>
    <plotArea>
      <doughnutChart>
        <varyColors val="1"/>
        <ser>
          <idx val="0"/>
          <order val="0"/>
          <tx>
            <strRef>
              <f>'Rebalance Plan'!B38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D47A1"/>
              </a:solidFill>
              <a:ln>
                <a:prstDash val="solid"/>
              </a:ln>
            </spPr>
          </dPt>
          <dPt>
            <idx val="1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2"/>
            <spPr>
              <a:solidFill>
                <a:srgbClr val="00695C"/>
              </a:solidFill>
              <a:ln>
                <a:prstDash val="solid"/>
              </a:ln>
            </spPr>
          </dPt>
          <dPt>
            <idx val="3"/>
            <spPr>
              <a:solidFill>
                <a:srgbClr val="E65100"/>
              </a:solidFill>
              <a:ln>
                <a:prstDash val="solid"/>
              </a:ln>
            </spPr>
          </dPt>
          <val>
            <numRef>
              <f>'Rebalance Plan'!$B$39:$B$42</f>
            </numRef>
          </val>
        </ser>
        <dLbls>
          <showCatName val="1"/>
          <showPercent val="1"/>
        </dLbls>
        <firstSliceAng val="0"/>
        <holeSize val="45"/>
      </doughnut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AFTER (3 Portfolios)</a:t>
            </a:r>
          </a:p>
        </rich>
      </tx>
    </title>
    <plotArea>
      <doughnutChart>
        <varyColors val="1"/>
        <ser>
          <idx val="0"/>
          <order val="0"/>
          <tx>
            <strRef>
              <f>'Rebalance Plan'!E38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D47A1"/>
              </a:solidFill>
              <a:ln>
                <a:prstDash val="solid"/>
              </a:ln>
            </spPr>
          </dPt>
          <dPt>
            <idx val="1"/>
            <spPr>
              <a:solidFill>
                <a:srgbClr val="F9A825"/>
              </a:solidFill>
              <a:ln>
                <a:prstDash val="solid"/>
              </a:ln>
            </spPr>
          </dPt>
          <dPt>
            <idx val="2"/>
            <spPr>
              <a:solidFill>
                <a:srgbClr val="00695C"/>
              </a:solidFill>
              <a:ln>
                <a:prstDash val="solid"/>
              </a:ln>
            </spPr>
          </dPt>
          <val>
            <numRef>
              <f>'Rebalance Plan'!$E$39:$E$41</f>
            </numRef>
          </val>
        </ser>
        <dLbls>
          <showCatName val="1"/>
          <showPercent val="1"/>
        </dLbls>
        <firstSliceAng val="0"/>
        <holeSize val="4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57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39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93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51</row>
      <rowOff>0</rowOff>
    </from>
    <ext cx="576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50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43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4" customWidth="1" min="4" max="4"/>
    <col width="2" customWidth="1" min="5" max="5"/>
    <col width="22" customWidth="1" min="6" max="6"/>
    <col width="18" customWidth="1" min="7" max="7"/>
    <col width="14" customWidth="1" min="8" max="8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รายงานการลงทุน Q2/2026  |  1 เมษายน – 30 มิถุนายน 2026  |  ฉบับที่ 1</t>
        </is>
      </c>
    </row>
    <row r="4" ht="18" customHeight="1">
      <c r="A4" s="3" t="inlineStr">
        <is>
          <t>KEY METRICS</t>
        </is>
      </c>
      <c r="F4" s="3" t="inlineStr">
        <is>
          <t>PORTFOLIO SUMMARY</t>
        </is>
      </c>
    </row>
    <row r="5" ht="22" customHeight="1">
      <c r="A5" s="4" t="inlineStr">
        <is>
          <t>ตัวชี้วัด / Metric</t>
        </is>
      </c>
      <c r="B5" s="4" t="inlineStr">
        <is>
          <t>ค่า / Value</t>
        </is>
      </c>
      <c r="C5" s="4" t="inlineStr">
        <is>
          <t>เป้าหมาย / Target</t>
        </is>
      </c>
      <c r="D5" s="4" t="inlineStr">
        <is>
          <t>สถานะ</t>
        </is>
      </c>
      <c r="F5" s="4" t="inlineStr">
        <is>
          <t>พอร์ต / Portfolio</t>
        </is>
      </c>
      <c r="G5" s="4" t="inlineStr">
        <is>
          <t>มูลค่า (USD)</t>
        </is>
      </c>
      <c r="H5" s="4" t="inlineStr">
        <is>
          <t>สัดส่วน %</t>
        </is>
      </c>
    </row>
    <row r="6" ht="18" customHeight="1">
      <c r="A6" s="5" t="inlineStr">
        <is>
          <t>มูลค่ากองทุน (NAV)</t>
        </is>
      </c>
      <c r="B6" s="6" t="inlineStr">
        <is>
          <t>$11,887.00</t>
        </is>
      </c>
      <c r="C6" s="6" t="inlineStr">
        <is>
          <t>—</t>
        </is>
      </c>
      <c r="D6" s="6" t="inlineStr">
        <is>
          <t>—</t>
        </is>
      </c>
      <c r="F6" s="7" t="inlineStr">
        <is>
          <t>Sentinel Global</t>
        </is>
      </c>
      <c r="G6" s="8" t="n">
        <v>2993</v>
      </c>
      <c r="H6" s="9" t="n">
        <v>0.252</v>
      </c>
    </row>
    <row r="7">
      <c r="A7" s="10" t="inlineStr">
        <is>
          <t>มูลค่ากองทุน (THB)</t>
        </is>
      </c>
      <c r="B7" s="11" t="inlineStr">
        <is>
          <t>389,417 THB</t>
        </is>
      </c>
      <c r="C7" s="11" t="inlineStr">
        <is>
          <t>—</t>
        </is>
      </c>
      <c r="D7" s="11" t="inlineStr">
        <is>
          <t>—</t>
        </is>
      </c>
      <c r="F7" s="12" t="inlineStr">
        <is>
          <t>Gambit Alpha</t>
        </is>
      </c>
      <c r="G7" s="13" t="n">
        <v>710</v>
      </c>
      <c r="H7" s="14" t="n">
        <v>0.06</v>
      </c>
    </row>
    <row r="8">
      <c r="A8" s="5" t="inlineStr">
        <is>
          <t>Q2 Capital Return</t>
        </is>
      </c>
      <c r="B8" s="15" t="n">
        <v>0.08</v>
      </c>
      <c r="C8" s="16" t="n">
        <v>0.04</v>
      </c>
      <c r="D8" s="17" t="inlineStr">
        <is>
          <t>✅ BEAT</t>
        </is>
      </c>
      <c r="F8" s="7" t="inlineStr">
        <is>
          <t>Agis Diversify</t>
        </is>
      </c>
      <c r="G8" s="8" t="n">
        <v>1201</v>
      </c>
      <c r="H8" s="9" t="n">
        <v>0.101</v>
      </c>
    </row>
    <row r="9">
      <c r="A9" s="10" t="inlineStr">
        <is>
          <t>Q2 Total Return (incl. div)</t>
        </is>
      </c>
      <c r="B9" s="18" t="n">
        <v>0.0953</v>
      </c>
      <c r="C9" s="19" t="n">
        <v>0.055</v>
      </c>
      <c r="D9" s="20" t="inlineStr">
        <is>
          <t>✅ BEAT</t>
        </is>
      </c>
      <c r="F9" s="12" t="inlineStr">
        <is>
          <t>Kinetic Income</t>
        </is>
      </c>
      <c r="G9" s="13" t="n">
        <v>6983</v>
      </c>
      <c r="H9" s="14" t="n">
        <v>0.587</v>
      </c>
    </row>
    <row r="10">
      <c r="A10" s="5" t="inlineStr">
        <is>
          <t>YTD 2026 Return</t>
        </is>
      </c>
      <c r="B10" s="15" t="n">
        <v>0.1022</v>
      </c>
      <c r="C10" s="16" t="n">
        <v>0.08</v>
      </c>
      <c r="D10" s="17" t="inlineStr">
        <is>
          <t>✅ BEAT</t>
        </is>
      </c>
      <c r="F10" s="21" t="inlineStr">
        <is>
          <t>TOTAL</t>
        </is>
      </c>
      <c r="G10" s="22" t="n">
        <v>11887</v>
      </c>
      <c r="H10" s="23" t="n">
        <v>1</v>
      </c>
    </row>
    <row r="11">
      <c r="A11" s="10" t="inlineStr">
        <is>
          <t>Since Inception Return</t>
        </is>
      </c>
      <c r="B11" s="18" t="n">
        <v>0.1987</v>
      </c>
      <c r="C11" s="11" t="inlineStr">
        <is>
          <t>—</t>
        </is>
      </c>
      <c r="D11" s="11" t="inlineStr">
        <is>
          <t>—</t>
        </is>
      </c>
    </row>
    <row r="12">
      <c r="A12" s="5" t="inlineStr">
        <is>
          <t>Dividend Yield FWD (annual)</t>
        </is>
      </c>
      <c r="B12" s="15" t="n">
        <v>0.0611</v>
      </c>
      <c r="C12" s="6" t="inlineStr">
        <is>
          <t>5–6%</t>
        </is>
      </c>
      <c r="D12" s="17" t="inlineStr">
        <is>
          <t>✅ ON TARGET</t>
        </is>
      </c>
    </row>
    <row r="13">
      <c r="A13" s="10" t="inlineStr">
        <is>
          <t>Dividend Income FWD/yr</t>
        </is>
      </c>
      <c r="B13" s="11" t="inlineStr">
        <is>
          <t>$764.37</t>
        </is>
      </c>
      <c r="C13" s="11" t="inlineStr">
        <is>
          <t>—</t>
        </is>
      </c>
      <c r="D13" s="11" t="inlineStr">
        <is>
          <t>—</t>
        </is>
      </c>
    </row>
    <row r="14">
      <c r="A14" s="5" t="inlineStr">
        <is>
          <t>Payout Ratio (SI avg)</t>
        </is>
      </c>
      <c r="B14" s="15" t="n">
        <v>0.525</v>
      </c>
      <c r="C14" s="6" t="inlineStr">
        <is>
          <t>—</t>
        </is>
      </c>
      <c r="D14" s="6" t="inlineStr">
        <is>
          <t>—</t>
        </is>
      </c>
    </row>
    <row r="15">
      <c r="A15" s="10" t="inlineStr">
        <is>
          <t>อัตราแลกเปลี่ยน</t>
        </is>
      </c>
      <c r="B15" s="11" t="inlineStr">
        <is>
          <t>32.76 THB/USD</t>
        </is>
      </c>
      <c r="C15" s="11" t="inlineStr">
        <is>
          <t>—</t>
        </is>
      </c>
      <c r="D15" s="11" t="inlineStr">
        <is>
          <t>—</t>
        </is>
      </c>
    </row>
    <row r="17">
      <c r="A17" s="24" t="inlineStr">
        <is>
          <t>📋  รายงานนี้จัดทำโดย Sentinel Investment Team  |  Victoria Chen (Fund Manager)  |  ไตรมาสถัดไป: Q3/2026 กำหนดส่ง 1 ตุลาคม 2026</t>
        </is>
      </c>
    </row>
  </sheetData>
  <mergeCells count="5">
    <mergeCell ref="A4:D4"/>
    <mergeCell ref="A2:H2"/>
    <mergeCell ref="F4:H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ประวัติผลการดำเนินงาน | Performance History</t>
        </is>
      </c>
    </row>
    <row r="4" ht="30" customHeight="1">
      <c r="A4" s="4" t="inlineStr">
        <is>
          <t>Period</t>
        </is>
      </c>
      <c r="B4" s="4" t="inlineStr">
        <is>
          <t>Start NAV
(USD)</t>
        </is>
      </c>
      <c r="C4" s="4" t="inlineStr">
        <is>
          <t>End NAV
(USD)</t>
        </is>
      </c>
      <c r="D4" s="4" t="inlineStr">
        <is>
          <t>Capital Gain
(USD)</t>
        </is>
      </c>
      <c r="E4" s="4" t="inlineStr">
        <is>
          <t>Capital
Return %</t>
        </is>
      </c>
      <c r="F4" s="4" t="inlineStr">
        <is>
          <t>Dividend
(USD)</t>
        </is>
      </c>
      <c r="G4" s="4" t="inlineStr">
        <is>
          <t>Total Return
(USD)</t>
        </is>
      </c>
      <c r="H4" s="4" t="inlineStr">
        <is>
          <t>Total
Return %</t>
        </is>
      </c>
      <c r="I4" s="4" t="inlineStr">
        <is>
          <t>S&amp;P 500
Benchmark %</t>
        </is>
      </c>
    </row>
    <row r="5">
      <c r="A5" s="25" t="inlineStr">
        <is>
          <t>Nov–Dec 2025 (SI)</t>
        </is>
      </c>
      <c r="B5" s="26" t="n">
        <v>9307.969999999999</v>
      </c>
      <c r="C5" s="26" t="n">
        <v>9933.84</v>
      </c>
      <c r="D5" s="26" t="n">
        <v>625.87</v>
      </c>
      <c r="E5" s="27" t="n">
        <v>0.08749999999999999</v>
      </c>
      <c r="F5" s="26" t="n">
        <v>452.36</v>
      </c>
      <c r="G5" s="26" t="n">
        <v>1078.23</v>
      </c>
      <c r="H5" s="27" t="n">
        <v>0.1361</v>
      </c>
      <c r="I5" s="27" t="n">
        <v>0.04</v>
      </c>
    </row>
    <row r="6">
      <c r="A6" s="28" t="inlineStr">
        <is>
          <t>Q1 2026 (Jan–Mar)</t>
        </is>
      </c>
      <c r="B6" s="29" t="n">
        <v>10784</v>
      </c>
      <c r="C6" s="29" t="n">
        <v>11007.41</v>
      </c>
      <c r="D6" s="29" t="n">
        <v>223.41</v>
      </c>
      <c r="E6" s="30" t="n">
        <v>0.0206</v>
      </c>
      <c r="F6" s="29" t="n">
        <v>157</v>
      </c>
      <c r="G6" s="29" t="n">
        <v>380.41</v>
      </c>
      <c r="H6" s="30" t="n">
        <v>0.0349</v>
      </c>
      <c r="I6" s="30" t="n">
        <v>0.03</v>
      </c>
    </row>
    <row r="7">
      <c r="A7" s="31" t="inlineStr">
        <is>
          <t>Q2 2026 (Apr–Jun)</t>
        </is>
      </c>
      <c r="B7" s="32" t="n">
        <v>11007.41</v>
      </c>
      <c r="C7" s="32" t="n">
        <v>11887</v>
      </c>
      <c r="D7" s="32" t="n">
        <v>879.59</v>
      </c>
      <c r="E7" s="33" t="n">
        <v>0.08</v>
      </c>
      <c r="F7" s="32" t="n">
        <v>169</v>
      </c>
      <c r="G7" s="32" t="n">
        <v>1048.59</v>
      </c>
      <c r="H7" s="33" t="n">
        <v>0.0953</v>
      </c>
      <c r="I7" s="33" t="n">
        <v>0.05</v>
      </c>
    </row>
    <row r="8">
      <c r="A8" s="34" t="inlineStr">
        <is>
          <t>2026 YTD</t>
        </is>
      </c>
      <c r="B8" s="35" t="n">
        <v>10784</v>
      </c>
      <c r="C8" s="35" t="n">
        <v>11887</v>
      </c>
      <c r="D8" s="35" t="n">
        <v>1103</v>
      </c>
      <c r="E8" s="18" t="n">
        <v>0.1022</v>
      </c>
      <c r="F8" s="35" t="n">
        <v>326</v>
      </c>
      <c r="G8" s="35" t="n">
        <v>1429</v>
      </c>
      <c r="H8" s="18" t="n">
        <v>0.1324</v>
      </c>
      <c r="I8" s="18" t="n">
        <v>0.105</v>
      </c>
    </row>
    <row r="9">
      <c r="A9" s="36" t="inlineStr">
        <is>
          <t>Since Inception</t>
        </is>
      </c>
      <c r="B9" s="37" t="n">
        <v>9307.969999999999</v>
      </c>
      <c r="C9" s="37" t="n">
        <v>11887</v>
      </c>
      <c r="D9" s="37" t="n">
        <v>2579.03</v>
      </c>
      <c r="E9" s="15" t="n">
        <v>0.2771</v>
      </c>
      <c r="F9" s="37" t="n">
        <v>778.36</v>
      </c>
      <c r="G9" s="37" t="n">
        <v>3357.39</v>
      </c>
      <c r="H9" s="15" t="n">
        <v>0.3607</v>
      </c>
      <c r="I9" s="15" t="n">
        <v>0.145</v>
      </c>
    </row>
    <row r="12">
      <c r="A12" s="38" t="inlineStr">
        <is>
          <t>NAV Growth Data</t>
        </is>
      </c>
      <c r="E12" s="38" t="inlineStr">
        <is>
          <t>Returns vs Target</t>
        </is>
      </c>
    </row>
    <row r="13">
      <c r="A13" t="inlineStr">
        <is>
          <t>Period</t>
        </is>
      </c>
      <c r="B13" t="inlineStr">
        <is>
          <t>NAV (USD)</t>
        </is>
      </c>
      <c r="C13" t="inlineStr">
        <is>
          <t>NAV (THB)</t>
        </is>
      </c>
      <c r="E13" t="inlineStr">
        <is>
          <t>Period</t>
        </is>
      </c>
      <c r="F13" t="inlineStr">
        <is>
          <t>Actual Capital %</t>
        </is>
      </c>
      <c r="G13" t="inlineStr">
        <is>
          <t>Target %</t>
        </is>
      </c>
      <c r="H13" t="inlineStr">
        <is>
          <t>Total Return %</t>
        </is>
      </c>
    </row>
    <row r="14">
      <c r="A14" t="inlineStr">
        <is>
          <t>Nov 2025</t>
        </is>
      </c>
      <c r="B14" t="n">
        <v>9307.969999999999</v>
      </c>
      <c r="C14" t="n">
        <v>304929</v>
      </c>
      <c r="E14" t="inlineStr">
        <is>
          <t>Nov–Dec 2025</t>
        </is>
      </c>
      <c r="F14" s="39" t="n">
        <v>0.08749999999999999</v>
      </c>
      <c r="G14" s="39" t="n">
        <v>0.04</v>
      </c>
      <c r="H14" s="39" t="n">
        <v>0.1361</v>
      </c>
    </row>
    <row r="15">
      <c r="A15" t="inlineStr">
        <is>
          <t>Dec 2025</t>
        </is>
      </c>
      <c r="B15" t="n">
        <v>9933.84</v>
      </c>
      <c r="C15" t="n">
        <v>325432</v>
      </c>
      <c r="E15" t="inlineStr">
        <is>
          <t>Q1 2026</t>
        </is>
      </c>
      <c r="F15" s="39" t="n">
        <v>0.0206</v>
      </c>
      <c r="G15" s="39" t="n">
        <v>0.04</v>
      </c>
      <c r="H15" s="39" t="n">
        <v>0.0349</v>
      </c>
    </row>
    <row r="16">
      <c r="A16" t="inlineStr">
        <is>
          <t>Mar 2026</t>
        </is>
      </c>
      <c r="B16" t="n">
        <v>11007.41</v>
      </c>
      <c r="C16" t="n">
        <v>360603</v>
      </c>
      <c r="E16" t="inlineStr">
        <is>
          <t>Q2 2026</t>
        </is>
      </c>
      <c r="F16" s="39" t="n">
        <v>0.08</v>
      </c>
      <c r="G16" s="39" t="n">
        <v>0.04</v>
      </c>
      <c r="H16" s="39" t="n">
        <v>0.0953</v>
      </c>
    </row>
    <row r="17">
      <c r="A17" t="inlineStr">
        <is>
          <t>Jun 2026</t>
        </is>
      </c>
      <c r="B17" t="n">
        <v>11887</v>
      </c>
      <c r="C17" t="n">
        <v>389417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8" customWidth="1" min="7" max="7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กระแสเงินสดรายเดือน | Monthly Investment Cashflow</t>
        </is>
      </c>
    </row>
    <row r="4" ht="30" customHeight="1">
      <c r="A4" s="4" t="inlineStr">
        <is>
          <t>เดือน / Month</t>
        </is>
      </c>
      <c r="B4" s="4" t="inlineStr">
        <is>
          <t>NAV (USD)</t>
        </is>
      </c>
      <c r="C4" s="4" t="inlineStr">
        <is>
          <t>ลงทุน / Invest
(USD)</t>
        </is>
      </c>
      <c r="D4" s="4" t="inlineStr">
        <is>
          <t>ถอน / Withdraw
(USD)</t>
        </is>
      </c>
      <c r="E4" s="4" t="inlineStr">
        <is>
          <t>ปันผล / Dividend
(USD)</t>
        </is>
      </c>
      <c r="F4" s="4" t="inlineStr">
        <is>
          <t>Net Cashflow
(USD)</t>
        </is>
      </c>
      <c r="G4" s="4" t="inlineStr">
        <is>
          <t>ปันผลสะสม
Cumul. Div (USD)</t>
        </is>
      </c>
    </row>
    <row r="5">
      <c r="A5" s="7" t="inlineStr">
        <is>
          <t>Nov 2025</t>
        </is>
      </c>
      <c r="B5" s="8" t="n">
        <v>9500</v>
      </c>
      <c r="C5" s="8" t="n">
        <v>880.41</v>
      </c>
      <c r="D5" s="8" t="n">
        <v>6.07</v>
      </c>
      <c r="E5" s="8" t="n">
        <v>17.56</v>
      </c>
      <c r="F5" s="8" t="n">
        <v>874.34</v>
      </c>
      <c r="G5" s="8" t="n">
        <v>17.56</v>
      </c>
    </row>
    <row r="6">
      <c r="A6" s="12" t="inlineStr">
        <is>
          <t>Dec 2025</t>
        </is>
      </c>
      <c r="B6" s="13" t="n">
        <v>9933.84</v>
      </c>
      <c r="C6" s="13" t="n">
        <v>8327.559999999999</v>
      </c>
      <c r="D6" s="13" t="n">
        <v>10.93</v>
      </c>
      <c r="E6" s="13" t="n">
        <v>434.7</v>
      </c>
      <c r="F6" s="13" t="n">
        <v>8316.629999999999</v>
      </c>
      <c r="G6" s="13" t="n">
        <v>452.26</v>
      </c>
    </row>
    <row r="7">
      <c r="A7" s="7" t="inlineStr">
        <is>
          <t>Jan 2026</t>
        </is>
      </c>
      <c r="B7" s="8" t="n">
        <v>10200</v>
      </c>
      <c r="C7" s="8" t="n">
        <v>5160.43</v>
      </c>
      <c r="D7" s="8" t="n">
        <v>0</v>
      </c>
      <c r="E7" s="8" t="n">
        <v>49</v>
      </c>
      <c r="F7" s="8" t="n">
        <v>5160.43</v>
      </c>
      <c r="G7" s="8" t="n">
        <v>501.26</v>
      </c>
    </row>
    <row r="8">
      <c r="A8" s="12" t="inlineStr">
        <is>
          <t>Feb 2026</t>
        </is>
      </c>
      <c r="B8" s="13" t="n">
        <v>10400</v>
      </c>
      <c r="C8" s="13" t="n">
        <v>192.47</v>
      </c>
      <c r="D8" s="13" t="n">
        <v>83.33</v>
      </c>
      <c r="E8" s="13" t="n">
        <v>49</v>
      </c>
      <c r="F8" s="13" t="n">
        <v>109.14</v>
      </c>
      <c r="G8" s="13" t="n">
        <v>550.26</v>
      </c>
    </row>
    <row r="9">
      <c r="A9" s="7" t="inlineStr">
        <is>
          <t>Mar 2026</t>
        </is>
      </c>
      <c r="B9" s="8" t="n">
        <v>11007.41</v>
      </c>
      <c r="C9" s="8" t="n">
        <v>10273.53</v>
      </c>
      <c r="D9" s="8" t="n">
        <v>0</v>
      </c>
      <c r="E9" s="8" t="n">
        <v>59</v>
      </c>
      <c r="F9" s="8" t="n">
        <v>10273.53</v>
      </c>
      <c r="G9" s="8" t="n">
        <v>609.26</v>
      </c>
    </row>
    <row r="10">
      <c r="A10" s="12" t="inlineStr">
        <is>
          <t>Apr 2026</t>
        </is>
      </c>
      <c r="B10" s="13" t="n">
        <v>11200</v>
      </c>
      <c r="C10" s="13" t="n">
        <v>0</v>
      </c>
      <c r="D10" s="13" t="n">
        <v>40.49</v>
      </c>
      <c r="E10" s="13" t="n">
        <v>52</v>
      </c>
      <c r="F10" s="40" t="n">
        <v>-40.49</v>
      </c>
      <c r="G10" s="13" t="n">
        <v>661.26</v>
      </c>
    </row>
    <row r="11">
      <c r="A11" s="7" t="inlineStr">
        <is>
          <t>May 2026</t>
        </is>
      </c>
      <c r="B11" s="8" t="n">
        <v>11500</v>
      </c>
      <c r="C11" s="8" t="n">
        <v>488.52</v>
      </c>
      <c r="D11" s="8" t="n">
        <v>27.95</v>
      </c>
      <c r="E11" s="8" t="n">
        <v>47</v>
      </c>
      <c r="F11" s="8" t="n">
        <v>460.57</v>
      </c>
      <c r="G11" s="8" t="n">
        <v>708.26</v>
      </c>
    </row>
    <row r="12">
      <c r="A12" s="12" t="inlineStr">
        <is>
          <t>Jun 2026</t>
        </is>
      </c>
      <c r="B12" s="13" t="n">
        <v>11887</v>
      </c>
      <c r="C12" s="13" t="n">
        <v>0</v>
      </c>
      <c r="D12" s="13" t="n">
        <v>240</v>
      </c>
      <c r="E12" s="13" t="n">
        <v>70.09999999999999</v>
      </c>
      <c r="F12" s="40" t="n">
        <v>-240</v>
      </c>
      <c r="G12" s="13" t="n">
        <v>778.36</v>
      </c>
    </row>
    <row r="13">
      <c r="A13" s="21" t="inlineStr">
        <is>
          <t>TOTAL</t>
        </is>
      </c>
      <c r="B13" s="41" t="n"/>
      <c r="C13" s="22" t="n">
        <v>25322.92</v>
      </c>
      <c r="D13" s="22" t="n">
        <v>408.77</v>
      </c>
      <c r="E13" s="22" t="n">
        <v>778.36</v>
      </c>
      <c r="F13" s="22" t="n">
        <v>24914.15</v>
      </c>
      <c r="G13" s="41" t="n"/>
    </row>
    <row r="16">
      <c r="A16" s="38" t="inlineStr">
        <is>
          <t>Chart Data — Dividend vs Withdrawal</t>
        </is>
      </c>
      <c r="F16" s="38" t="inlineStr">
        <is>
          <t>Cumul. Data</t>
        </is>
      </c>
    </row>
    <row r="17">
      <c r="A17" t="inlineStr">
        <is>
          <t>Month</t>
        </is>
      </c>
      <c r="B17" t="inlineStr">
        <is>
          <t>Dividend (USD)</t>
        </is>
      </c>
      <c r="C17" t="inlineStr">
        <is>
          <t>Withdrawn (USD)</t>
        </is>
      </c>
      <c r="D17" t="inlineStr">
        <is>
          <t>Reinvested (USD)</t>
        </is>
      </c>
      <c r="F17" t="inlineStr">
        <is>
          <t>Month</t>
        </is>
      </c>
      <c r="G17" t="inlineStr">
        <is>
          <t>Cumulative Div (USD)</t>
        </is>
      </c>
    </row>
    <row r="18">
      <c r="A18" t="inlineStr">
        <is>
          <t>Nov 2025</t>
        </is>
      </c>
      <c r="B18" s="42" t="n">
        <v>17.56</v>
      </c>
      <c r="C18" s="42" t="n">
        <v>6.07</v>
      </c>
      <c r="D18" s="42" t="n">
        <v>11.49</v>
      </c>
      <c r="F18" t="inlineStr">
        <is>
          <t>Nov 2025</t>
        </is>
      </c>
      <c r="G18" s="42" t="n">
        <v>17.56</v>
      </c>
    </row>
    <row r="19">
      <c r="A19" t="inlineStr">
        <is>
          <t>Dec 2025</t>
        </is>
      </c>
      <c r="B19" s="42" t="n">
        <v>434.7</v>
      </c>
      <c r="C19" s="42" t="n">
        <v>10.93</v>
      </c>
      <c r="D19" s="42" t="n">
        <v>423.77</v>
      </c>
      <c r="F19" t="inlineStr">
        <is>
          <t>Dec 2025</t>
        </is>
      </c>
      <c r="G19" s="42" t="n">
        <v>452.26</v>
      </c>
    </row>
    <row r="20">
      <c r="A20" t="inlineStr">
        <is>
          <t>Jan 2026</t>
        </is>
      </c>
      <c r="B20" s="42" t="n">
        <v>49</v>
      </c>
      <c r="C20" s="42" t="n">
        <v>0</v>
      </c>
      <c r="D20" s="42" t="n">
        <v>49</v>
      </c>
      <c r="F20" t="inlineStr">
        <is>
          <t>Jan 2026</t>
        </is>
      </c>
      <c r="G20" s="42" t="n">
        <v>501.26</v>
      </c>
    </row>
    <row r="21">
      <c r="A21" t="inlineStr">
        <is>
          <t>Feb 2026</t>
        </is>
      </c>
      <c r="B21" s="42" t="n">
        <v>49</v>
      </c>
      <c r="C21" s="42" t="n">
        <v>83.33</v>
      </c>
      <c r="D21" s="42" t="n">
        <v>0</v>
      </c>
      <c r="F21" t="inlineStr">
        <is>
          <t>Feb 2026</t>
        </is>
      </c>
      <c r="G21" s="42" t="n">
        <v>550.26</v>
      </c>
    </row>
    <row r="22">
      <c r="A22" t="inlineStr">
        <is>
          <t>Mar 2026</t>
        </is>
      </c>
      <c r="B22" s="42" t="n">
        <v>59</v>
      </c>
      <c r="C22" s="42" t="n">
        <v>0</v>
      </c>
      <c r="D22" s="42" t="n">
        <v>59</v>
      </c>
      <c r="F22" t="inlineStr">
        <is>
          <t>Mar 2026</t>
        </is>
      </c>
      <c r="G22" s="42" t="n">
        <v>609.26</v>
      </c>
    </row>
    <row r="23">
      <c r="A23" t="inlineStr">
        <is>
          <t>Apr 2026</t>
        </is>
      </c>
      <c r="B23" s="42" t="n">
        <v>52</v>
      </c>
      <c r="C23" s="42" t="n">
        <v>40.49</v>
      </c>
      <c r="D23" s="42" t="n">
        <v>11.51</v>
      </c>
      <c r="F23" t="inlineStr">
        <is>
          <t>Apr 2026</t>
        </is>
      </c>
      <c r="G23" s="42" t="n">
        <v>661.26</v>
      </c>
    </row>
    <row r="24">
      <c r="A24" t="inlineStr">
        <is>
          <t>May 2026</t>
        </is>
      </c>
      <c r="B24" s="42" t="n">
        <v>47</v>
      </c>
      <c r="C24" s="42" t="n">
        <v>27.95</v>
      </c>
      <c r="D24" s="42" t="n">
        <v>19.05</v>
      </c>
      <c r="F24" t="inlineStr">
        <is>
          <t>May 2026</t>
        </is>
      </c>
      <c r="G24" s="42" t="n">
        <v>708.26</v>
      </c>
    </row>
    <row r="25">
      <c r="A25" t="inlineStr">
        <is>
          <t>Jun 2026</t>
        </is>
      </c>
      <c r="B25" s="42" t="n">
        <v>70.09999999999999</v>
      </c>
      <c r="C25" s="42" t="n">
        <v>240</v>
      </c>
      <c r="D25" s="42" t="n">
        <v>0</v>
      </c>
      <c r="F25" t="inlineStr">
        <is>
          <t>Jun 2026</t>
        </is>
      </c>
      <c r="G25" s="42" t="n">
        <v>778.36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8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รายการสินทรัพย์ | Portfolio Holdings — 30 June 2026</t>
        </is>
      </c>
    </row>
    <row r="4" ht="20" customHeight="1">
      <c r="A4" s="43" t="inlineStr">
        <is>
          <t>SECTION A — สรุปแต่ละพอร์ต (Portfolio Summary)</t>
        </is>
      </c>
    </row>
    <row r="5" ht="28" customHeight="1">
      <c r="A5" s="4" t="inlineStr">
        <is>
          <t>พอร์ต / Portfolio</t>
        </is>
      </c>
      <c r="B5" s="4" t="inlineStr">
        <is>
          <t>มูลค่า
(USD)</t>
        </is>
      </c>
      <c r="C5" s="4" t="inlineStr">
        <is>
          <t>มูลค่า
(THB)</t>
        </is>
      </c>
      <c r="D5" s="4" t="inlineStr">
        <is>
          <t>สัดส่วน
%</t>
        </is>
      </c>
      <c r="E5" s="4" t="inlineStr">
        <is>
          <t>ผลตอบแทน
(SI)%</t>
        </is>
      </c>
      <c r="F5" s="4" t="inlineStr">
        <is>
          <t>Div Yield
(FWD)%</t>
        </is>
      </c>
    </row>
    <row r="6">
      <c r="A6" s="7" t="inlineStr">
        <is>
          <t>Sentinel Global</t>
        </is>
      </c>
      <c r="B6" s="8" t="n">
        <v>2993</v>
      </c>
      <c r="C6" s="44" t="n">
        <v>98051</v>
      </c>
      <c r="D6" s="9" t="n">
        <v>0.252</v>
      </c>
      <c r="E6" s="27" t="n">
        <v>0.08799999999999999</v>
      </c>
      <c r="F6" s="16" t="n">
        <v>0.045</v>
      </c>
    </row>
    <row r="7">
      <c r="A7" s="12" t="inlineStr">
        <is>
          <t>Gambit Alpha</t>
        </is>
      </c>
      <c r="B7" s="13" t="n">
        <v>710</v>
      </c>
      <c r="C7" s="45" t="n">
        <v>23260</v>
      </c>
      <c r="D7" s="14" t="n">
        <v>0.06</v>
      </c>
      <c r="E7" s="46" t="n">
        <v>-0.026</v>
      </c>
      <c r="F7" s="19" t="n">
        <v>0.025</v>
      </c>
    </row>
    <row r="8">
      <c r="A8" s="7" t="inlineStr">
        <is>
          <t>Agis Diversify</t>
        </is>
      </c>
      <c r="B8" s="8" t="n">
        <v>1201</v>
      </c>
      <c r="C8" s="44" t="n">
        <v>39337</v>
      </c>
      <c r="D8" s="9" t="n">
        <v>0.101</v>
      </c>
      <c r="E8" s="47" t="n">
        <v>-0.017</v>
      </c>
      <c r="F8" s="16" t="n">
        <v>0.07199999999999999</v>
      </c>
    </row>
    <row r="9">
      <c r="A9" s="12" t="inlineStr">
        <is>
          <t>Kinetic Income</t>
        </is>
      </c>
      <c r="B9" s="13" t="n">
        <v>6983</v>
      </c>
      <c r="C9" s="45" t="n">
        <v>228769</v>
      </c>
      <c r="D9" s="14" t="n">
        <v>0.587</v>
      </c>
      <c r="E9" s="30" t="n">
        <v>0.08</v>
      </c>
      <c r="F9" s="19" t="n">
        <v>0.102</v>
      </c>
    </row>
    <row r="10">
      <c r="A10" s="21" t="inlineStr">
        <is>
          <t>TOTAL</t>
        </is>
      </c>
      <c r="B10" s="22" t="n">
        <v>11887</v>
      </c>
      <c r="C10" s="48" t="n">
        <v>389417</v>
      </c>
      <c r="D10" s="23" t="n">
        <v>1</v>
      </c>
      <c r="E10" s="49" t="n">
        <v>0.065</v>
      </c>
      <c r="F10" s="49" t="n">
        <v>0.0611</v>
      </c>
    </row>
    <row r="13" ht="20" customHeight="1">
      <c r="A13" s="43" t="inlineStr">
        <is>
          <t>SECTION B — รายการสินทรัพย์ทั้งหมด (Individual Holdings)</t>
        </is>
      </c>
    </row>
    <row r="14" ht="28" customHeight="1">
      <c r="A14" s="4" t="inlineStr">
        <is>
          <t>พอร์ต</t>
        </is>
      </c>
      <c r="B14" s="4" t="inlineStr">
        <is>
          <t>Ticker</t>
        </is>
      </c>
      <c r="C14" s="4" t="inlineStr">
        <is>
          <t>ชื่อ / Name</t>
        </is>
      </c>
      <c r="D14" s="4" t="inlineStr">
        <is>
          <t>หน่วย
Units</t>
        </is>
      </c>
      <c r="E14" s="4" t="inlineStr">
        <is>
          <t>ราคา
(USD)</t>
        </is>
      </c>
      <c r="F14" s="4" t="inlineStr">
        <is>
          <t>มูลค่า
(USD)</t>
        </is>
      </c>
      <c r="G14" s="4" t="inlineStr">
        <is>
          <t>สัดส่วนใน Port
%</t>
        </is>
      </c>
      <c r="H14" s="4" t="inlineStr">
        <is>
          <t>ผลตอบแทน
(SI)%</t>
        </is>
      </c>
      <c r="I14" s="4" t="inlineStr">
        <is>
          <t>Div Yield
%</t>
        </is>
      </c>
      <c r="J14" s="4" t="inlineStr">
        <is>
          <t>หมายเหตุ</t>
        </is>
      </c>
    </row>
    <row r="15">
      <c r="A15" s="50" t="inlineStr">
        <is>
          <t>Sentinel Global</t>
        </is>
      </c>
      <c r="B15" s="51" t="inlineStr">
        <is>
          <t>SPMO</t>
        </is>
      </c>
      <c r="C15" s="50" t="inlineStr">
        <is>
          <t>S&amp;P 500 Momentum</t>
        </is>
      </c>
      <c r="D15" s="51" t="n">
        <v>6.07</v>
      </c>
      <c r="E15" s="52" t="n">
        <v>147.88</v>
      </c>
      <c r="F15" s="52" t="n">
        <v>897.6799999999999</v>
      </c>
      <c r="G15" s="53" t="n">
        <v>0.2999</v>
      </c>
      <c r="H15" s="33" t="n">
        <v>0.1806</v>
      </c>
      <c r="I15" s="53" t="n">
        <v>0.008</v>
      </c>
      <c r="J15" s="51" t="inlineStr">
        <is>
          <t>🟢</t>
        </is>
      </c>
    </row>
    <row r="16">
      <c r="A16" s="50" t="inlineStr">
        <is>
          <t>Sentinel Global</t>
        </is>
      </c>
      <c r="B16" s="51" t="inlineStr">
        <is>
          <t>VOO</t>
        </is>
      </c>
      <c r="C16" s="50" t="inlineStr">
        <is>
          <t>Vanguard S&amp;P 500</t>
        </is>
      </c>
      <c r="D16" s="51" t="n">
        <v>0.99</v>
      </c>
      <c r="E16" s="52" t="n">
        <v>679.6799999999999</v>
      </c>
      <c r="F16" s="52" t="n">
        <v>672.6799999999999</v>
      </c>
      <c r="G16" s="53" t="n">
        <v>0.2247</v>
      </c>
      <c r="H16" s="33" t="n">
        <v>0.1501</v>
      </c>
      <c r="I16" s="53" t="n">
        <v>0.013</v>
      </c>
      <c r="J16" s="51" t="inlineStr">
        <is>
          <t>🟢</t>
        </is>
      </c>
    </row>
    <row r="17">
      <c r="A17" s="50" t="inlineStr">
        <is>
          <t>Sentinel Global</t>
        </is>
      </c>
      <c r="B17" s="51" t="inlineStr">
        <is>
          <t>SCHD</t>
        </is>
      </c>
      <c r="C17" s="50" t="inlineStr">
        <is>
          <t>Schwab US Dividend</t>
        </is>
      </c>
      <c r="D17" s="51" t="n">
        <v>12.84</v>
      </c>
      <c r="E17" s="52" t="n">
        <v>32.29</v>
      </c>
      <c r="F17" s="52" t="n">
        <v>414.73</v>
      </c>
      <c r="G17" s="53" t="n">
        <v>0.1385</v>
      </c>
      <c r="H17" s="33" t="n">
        <v>0.0377</v>
      </c>
      <c r="I17" s="53" t="n">
        <v>0.037</v>
      </c>
      <c r="J17" s="51" t="inlineStr">
        <is>
          <t>🟢</t>
        </is>
      </c>
    </row>
    <row r="18">
      <c r="A18" s="50" t="inlineStr">
        <is>
          <t>Sentinel Global</t>
        </is>
      </c>
      <c r="B18" s="51" t="inlineStr">
        <is>
          <t>JAAA</t>
        </is>
      </c>
      <c r="C18" s="50" t="inlineStr">
        <is>
          <t>Janus AAA CLO ETF</t>
        </is>
      </c>
      <c r="D18" s="51" t="n">
        <v>3</v>
      </c>
      <c r="E18" s="52" t="n">
        <v>124.71</v>
      </c>
      <c r="F18" s="52" t="n">
        <v>374.13</v>
      </c>
      <c r="G18" s="53" t="n">
        <v>0.125</v>
      </c>
      <c r="H18" s="54" t="n">
        <v>-0.0003</v>
      </c>
      <c r="I18" s="53" t="n">
        <v>0.065</v>
      </c>
      <c r="J18" s="51" t="inlineStr">
        <is>
          <t>🟡</t>
        </is>
      </c>
    </row>
    <row r="19">
      <c r="A19" s="50" t="inlineStr">
        <is>
          <t>Sentinel Global</t>
        </is>
      </c>
      <c r="B19" s="51" t="inlineStr">
        <is>
          <t>AVDV</t>
        </is>
      </c>
      <c r="C19" s="50" t="inlineStr">
        <is>
          <t>Avantis Intl SC Val</t>
        </is>
      </c>
      <c r="D19" s="51" t="n">
        <v>3</v>
      </c>
      <c r="E19" s="52" t="n">
        <v>106.27</v>
      </c>
      <c r="F19" s="52" t="n">
        <v>318.76</v>
      </c>
      <c r="G19" s="53" t="n">
        <v>0.1065</v>
      </c>
      <c r="H19" s="54" t="n">
        <v>-0.0313</v>
      </c>
      <c r="I19" s="53" t="n">
        <v>0.035</v>
      </c>
      <c r="J19" s="51" t="inlineStr">
        <is>
          <t>🔴</t>
        </is>
      </c>
    </row>
    <row r="20">
      <c r="A20" s="50" t="inlineStr">
        <is>
          <t>Sentinel Global</t>
        </is>
      </c>
      <c r="B20" s="51" t="inlineStr">
        <is>
          <t>DFIV</t>
        </is>
      </c>
      <c r="C20" s="50" t="inlineStr">
        <is>
          <t>DFA Intl Value</t>
        </is>
      </c>
      <c r="D20" s="51" t="n">
        <v>5.75</v>
      </c>
      <c r="E20" s="52" t="n">
        <v>54.87</v>
      </c>
      <c r="F20" s="52" t="n">
        <v>315.17</v>
      </c>
      <c r="G20" s="53" t="n">
        <v>0.1053</v>
      </c>
      <c r="H20" s="54" t="n">
        <v>-0.0174</v>
      </c>
      <c r="I20" s="53" t="n">
        <v>0.04</v>
      </c>
      <c r="J20" s="51" t="inlineStr">
        <is>
          <t>🔴</t>
        </is>
      </c>
    </row>
    <row r="21">
      <c r="A21" s="55" t="inlineStr">
        <is>
          <t>Gambit Alpha</t>
        </is>
      </c>
      <c r="B21" s="56" t="inlineStr">
        <is>
          <t>SGOV</t>
        </is>
      </c>
      <c r="C21" s="55" t="inlineStr">
        <is>
          <t>iShares 0-3M T-Bill</t>
        </is>
      </c>
      <c r="D21" s="56" t="n">
        <v>4.39</v>
      </c>
      <c r="E21" s="57" t="n">
        <v>99</v>
      </c>
      <c r="F21" s="57" t="n">
        <v>434.52</v>
      </c>
      <c r="G21" s="58" t="n">
        <v>0.612</v>
      </c>
      <c r="H21" s="59" t="n">
        <v>0.0003</v>
      </c>
      <c r="I21" s="58" t="n">
        <v>0.051</v>
      </c>
      <c r="J21" s="56" t="inlineStr">
        <is>
          <t>🟢</t>
        </is>
      </c>
    </row>
    <row r="22">
      <c r="A22" s="55" t="inlineStr">
        <is>
          <t>Gambit Alpha</t>
        </is>
      </c>
      <c r="B22" s="56" t="inlineStr">
        <is>
          <t>NVDA</t>
        </is>
      </c>
      <c r="C22" s="55" t="inlineStr">
        <is>
          <t>NVIDIA Corp</t>
        </is>
      </c>
      <c r="D22" s="56" t="n">
        <v>0.87</v>
      </c>
      <c r="E22" s="57" t="n">
        <v>208.64</v>
      </c>
      <c r="F22" s="57" t="n">
        <v>181.55</v>
      </c>
      <c r="G22" s="58" t="n">
        <v>0.2557</v>
      </c>
      <c r="H22" s="60" t="n">
        <v>-0.0716</v>
      </c>
      <c r="I22" s="58" t="n">
        <v>0</v>
      </c>
      <c r="J22" s="56" t="inlineStr">
        <is>
          <t>🔴</t>
        </is>
      </c>
    </row>
    <row r="23">
      <c r="A23" s="55" t="inlineStr">
        <is>
          <t>Gambit Alpha</t>
        </is>
      </c>
      <c r="B23" s="56" t="inlineStr">
        <is>
          <t>PLTR</t>
        </is>
      </c>
      <c r="C23" s="55" t="inlineStr">
        <is>
          <t>Palantir Technologies</t>
        </is>
      </c>
      <c r="D23" s="56" t="n">
        <v>0.6899999999999999</v>
      </c>
      <c r="E23" s="57" t="n">
        <v>136.47</v>
      </c>
      <c r="F23" s="57" t="n">
        <v>93.86</v>
      </c>
      <c r="G23" s="58" t="n">
        <v>0.1322</v>
      </c>
      <c r="H23" s="60" t="n">
        <v>-0.0596</v>
      </c>
      <c r="I23" s="58" t="n">
        <v>0</v>
      </c>
      <c r="J23" s="56" t="inlineStr">
        <is>
          <t>🔴</t>
        </is>
      </c>
    </row>
    <row r="24">
      <c r="A24" s="61" t="inlineStr">
        <is>
          <t>Agis Diversify</t>
        </is>
      </c>
      <c r="B24" s="62" t="inlineStr">
        <is>
          <t>O</t>
        </is>
      </c>
      <c r="C24" s="61" t="inlineStr">
        <is>
          <t>Realty Income REIT</t>
        </is>
      </c>
      <c r="D24" s="62" t="n">
        <v>7</v>
      </c>
      <c r="E24" s="63" t="n">
        <v>60.02</v>
      </c>
      <c r="F24" s="63" t="n">
        <v>420.17</v>
      </c>
      <c r="G24" s="64" t="n">
        <v>0.3498</v>
      </c>
      <c r="H24" s="65" t="n">
        <v>-0.0436</v>
      </c>
      <c r="I24" s="64" t="n">
        <v>0.057</v>
      </c>
      <c r="J24" s="62" t="inlineStr">
        <is>
          <t>🔴</t>
        </is>
      </c>
    </row>
    <row r="25">
      <c r="A25" s="61" t="inlineStr">
        <is>
          <t>Agis Diversify</t>
        </is>
      </c>
      <c r="B25" s="62" t="inlineStr">
        <is>
          <t>MAIN</t>
        </is>
      </c>
      <c r="C25" s="61" t="inlineStr">
        <is>
          <t>Main Street Capital</t>
        </is>
      </c>
      <c r="D25" s="62" t="n">
        <v>7</v>
      </c>
      <c r="E25" s="63" t="n">
        <v>51.37</v>
      </c>
      <c r="F25" s="63" t="n">
        <v>359.59</v>
      </c>
      <c r="G25" s="64" t="n">
        <v>0.2995</v>
      </c>
      <c r="H25" s="65" t="n">
        <v>-0.0461</v>
      </c>
      <c r="I25" s="64" t="n">
        <v>0.098</v>
      </c>
      <c r="J25" s="62" t="inlineStr">
        <is>
          <t>🔴</t>
        </is>
      </c>
    </row>
    <row r="26">
      <c r="A26" s="61" t="inlineStr">
        <is>
          <t>Agis Diversify</t>
        </is>
      </c>
      <c r="B26" s="62" t="inlineStr">
        <is>
          <t>HSBC</t>
        </is>
      </c>
      <c r="C26" s="61" t="inlineStr">
        <is>
          <t>HSBC Holdings</t>
        </is>
      </c>
      <c r="D26" s="62" t="n">
        <v>3.49</v>
      </c>
      <c r="E26" s="63" t="n">
        <v>91.53</v>
      </c>
      <c r="F26" s="63" t="n">
        <v>319.14</v>
      </c>
      <c r="G26" s="64" t="n">
        <v>0.2658</v>
      </c>
      <c r="H26" s="66" t="n">
        <v>0.0717</v>
      </c>
      <c r="I26" s="64" t="n">
        <v>0.042</v>
      </c>
      <c r="J26" s="62" t="inlineStr">
        <is>
          <t>🟢</t>
        </is>
      </c>
    </row>
    <row r="27">
      <c r="A27" s="61" t="inlineStr">
        <is>
          <t>Agis Diversify</t>
        </is>
      </c>
      <c r="B27" s="62" t="inlineStr">
        <is>
          <t>CIG</t>
        </is>
      </c>
      <c r="C27" s="61" t="inlineStr">
        <is>
          <t>Cemig Brazil</t>
        </is>
      </c>
      <c r="D27" s="62" t="n">
        <v>50</v>
      </c>
      <c r="E27" s="63" t="n">
        <v>2.04</v>
      </c>
      <c r="F27" s="63" t="n">
        <v>101.93</v>
      </c>
      <c r="G27" s="64" t="n">
        <v>0.0849</v>
      </c>
      <c r="H27" s="65" t="n">
        <v>-0.079</v>
      </c>
      <c r="I27" s="64" t="n">
        <v>0.08</v>
      </c>
      <c r="J27" s="62" t="inlineStr">
        <is>
          <t>🔴</t>
        </is>
      </c>
    </row>
    <row r="28">
      <c r="A28" s="67" t="inlineStr">
        <is>
          <t>Kinetic Income</t>
        </is>
      </c>
      <c r="B28" s="68" t="inlineStr">
        <is>
          <t>GPIQ</t>
        </is>
      </c>
      <c r="C28" s="67" t="inlineStr">
        <is>
          <t>GS Nasdaq Prem Income</t>
        </is>
      </c>
      <c r="D28" s="68" t="n">
        <v>75</v>
      </c>
      <c r="E28" s="69" t="n">
        <v>57.62</v>
      </c>
      <c r="F28" s="69" t="n">
        <v>4321.5</v>
      </c>
      <c r="G28" s="70" t="n">
        <v>0.6188</v>
      </c>
      <c r="H28" s="71" t="n">
        <v>0.1069</v>
      </c>
      <c r="I28" s="70" t="n">
        <v>0.115</v>
      </c>
      <c r="J28" s="68" t="inlineStr">
        <is>
          <t>🟢</t>
        </is>
      </c>
    </row>
    <row r="29">
      <c r="A29" s="67" t="inlineStr">
        <is>
          <t>Kinetic Income</t>
        </is>
      </c>
      <c r="B29" s="68" t="inlineStr">
        <is>
          <t>QDVO</t>
        </is>
      </c>
      <c r="C29" s="67" t="inlineStr">
        <is>
          <t>Amplify CWP Enh Div</t>
        </is>
      </c>
      <c r="D29" s="68" t="n">
        <v>50</v>
      </c>
      <c r="E29" s="69" t="n">
        <v>29.85</v>
      </c>
      <c r="F29" s="69" t="n">
        <v>1492.5</v>
      </c>
      <c r="G29" s="70" t="n">
        <v>0.2137</v>
      </c>
      <c r="H29" s="71" t="n">
        <v>0.0294</v>
      </c>
      <c r="I29" s="70" t="n">
        <v>0.09</v>
      </c>
      <c r="J29" s="68" t="inlineStr">
        <is>
          <t>🟢</t>
        </is>
      </c>
    </row>
    <row r="30">
      <c r="A30" s="67" t="inlineStr">
        <is>
          <t>Kinetic Income</t>
        </is>
      </c>
      <c r="B30" s="68" t="inlineStr">
        <is>
          <t>BALI</t>
        </is>
      </c>
      <c r="C30" s="67" t="inlineStr">
        <is>
          <t>Innovator MSCI EAFE</t>
        </is>
      </c>
      <c r="D30" s="68" t="n">
        <v>35</v>
      </c>
      <c r="E30" s="69" t="n">
        <v>33.41</v>
      </c>
      <c r="F30" s="69" t="n">
        <v>1169.35</v>
      </c>
      <c r="G30" s="70" t="n">
        <v>0.1674</v>
      </c>
      <c r="H30" s="71" t="n">
        <v>0.043</v>
      </c>
      <c r="I30" s="70" t="n">
        <v>0.045</v>
      </c>
      <c r="J30" s="68" t="inlineStr">
        <is>
          <t>🟢</t>
        </is>
      </c>
    </row>
    <row r="33">
      <c r="A33" s="38" t="inlineStr">
        <is>
          <t>Allocation Data</t>
        </is>
      </c>
      <c r="D33" s="38" t="inlineStr">
        <is>
          <t>Asset Class Data</t>
        </is>
      </c>
    </row>
    <row r="34">
      <c r="A34" t="inlineStr">
        <is>
          <t>Portfolio</t>
        </is>
      </c>
      <c r="B34" t="inlineStr">
        <is>
          <t>Weight</t>
        </is>
      </c>
      <c r="D34" t="inlineStr">
        <is>
          <t>Asset Class</t>
        </is>
      </c>
      <c r="E34" t="inlineStr">
        <is>
          <t>Weight</t>
        </is>
      </c>
    </row>
    <row r="35">
      <c r="A35" t="inlineStr">
        <is>
          <t>Sentinel Global</t>
        </is>
      </c>
      <c r="B35" s="72" t="n">
        <v>0.252</v>
      </c>
      <c r="D35" t="inlineStr">
        <is>
          <t>Income/Covered Call</t>
        </is>
      </c>
      <c r="E35" s="72" t="n">
        <v>0.489</v>
      </c>
    </row>
    <row r="36">
      <c r="A36" t="inlineStr">
        <is>
          <t>Gambit Alpha</t>
        </is>
      </c>
      <c r="B36" s="72" t="n">
        <v>0.06</v>
      </c>
      <c r="D36" t="inlineStr">
        <is>
          <t>Growth Equity</t>
        </is>
      </c>
      <c r="E36" s="72" t="n">
        <v>0.132</v>
      </c>
    </row>
    <row r="37">
      <c r="A37" t="inlineStr">
        <is>
          <t>Agis Diversify</t>
        </is>
      </c>
      <c r="B37" s="72" t="n">
        <v>0.101</v>
      </c>
      <c r="D37" t="inlineStr">
        <is>
          <t>Buffer/Cash</t>
        </is>
      </c>
      <c r="E37" s="72" t="n">
        <v>0.166</v>
      </c>
    </row>
    <row r="38">
      <c r="A38" t="inlineStr">
        <is>
          <t>Kinetic Income</t>
        </is>
      </c>
      <c r="B38" s="72" t="n">
        <v>0.587</v>
      </c>
      <c r="D38" t="inlineStr">
        <is>
          <t>Dividend Income</t>
        </is>
      </c>
      <c r="E38" s="72" t="n">
        <v>0.1</v>
      </c>
    </row>
    <row r="39">
      <c r="D39" t="inlineStr">
        <is>
          <t>International</t>
        </is>
      </c>
      <c r="E39" s="72" t="n">
        <v>0.053</v>
      </c>
    </row>
    <row r="40">
      <c r="D40" t="inlineStr">
        <is>
          <t>Speculative</t>
        </is>
      </c>
      <c r="E40" s="72" t="n">
        <v>0.023</v>
      </c>
    </row>
    <row r="41">
      <c r="D41" t="inlineStr">
        <is>
          <t>Other</t>
        </is>
      </c>
      <c r="E41" s="72" t="n">
        <v>0.037</v>
      </c>
    </row>
  </sheetData>
  <mergeCells count="4">
    <mergeCell ref="A4:J4"/>
    <mergeCell ref="A2:H2"/>
    <mergeCell ref="A13:J1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I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7" max="7"/>
    <col width="16" customWidth="1" min="8" max="8"/>
    <col width="16" customWidth="1" min="9" max="9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รายได้เงินปันผล &amp; Payout Ratio | Dividend Income &amp; Payout Analysis</t>
        </is>
      </c>
    </row>
    <row r="4">
      <c r="A4" s="43" t="inlineStr">
        <is>
          <t>TABLE A — รายได้ปันผลรายช่วง (Dividend Income by Period)</t>
        </is>
      </c>
      <c r="G4" s="43" t="inlineStr">
        <is>
          <t>TABLE C — FWD Dividend Schedule</t>
        </is>
      </c>
    </row>
    <row r="5" ht="24" customHeight="1">
      <c r="A5" s="4" t="inlineStr">
        <is>
          <t>ช่วงเวลา / Period</t>
        </is>
      </c>
      <c r="B5" s="4" t="inlineStr">
        <is>
          <t>Dividend (USD)</t>
        </is>
      </c>
      <c r="C5" s="4" t="inlineStr">
        <is>
          <t>Dividend (THB)</t>
        </is>
      </c>
      <c r="D5" s="4" t="inlineStr">
        <is>
          <t>Yield % (Ann.)</t>
        </is>
      </c>
      <c r="G5" s="4" t="inlineStr">
        <is>
          <t>เดือน / Month</t>
        </is>
      </c>
      <c r="H5" s="4" t="inlineStr">
        <is>
          <t>Dividend Est.
(USD)</t>
        </is>
      </c>
      <c r="I5" s="4" t="inlineStr">
        <is>
          <t>Cumulative
(USD)</t>
        </is>
      </c>
    </row>
    <row r="6">
      <c r="A6" s="25" t="inlineStr">
        <is>
          <t>Nov 2025</t>
        </is>
      </c>
      <c r="B6" s="26" t="n">
        <v>17.56</v>
      </c>
      <c r="C6" s="73" t="n">
        <v>575</v>
      </c>
      <c r="D6" s="74" t="n">
        <v>0.023</v>
      </c>
      <c r="G6" s="6" t="inlineStr">
        <is>
          <t>Jul 2026</t>
        </is>
      </c>
      <c r="H6" s="8" t="n">
        <v>70.09999999999999</v>
      </c>
      <c r="I6" s="8" t="n">
        <v>70.09999999999999</v>
      </c>
    </row>
    <row r="7">
      <c r="A7" s="28" t="inlineStr">
        <is>
          <t>Dec 2025</t>
        </is>
      </c>
      <c r="B7" s="29" t="n">
        <v>434.7</v>
      </c>
      <c r="C7" s="75" t="n">
        <v>14237</v>
      </c>
      <c r="D7" s="76" t="n">
        <v>0.526</v>
      </c>
      <c r="G7" s="11" t="inlineStr">
        <is>
          <t>Aug 2026</t>
        </is>
      </c>
      <c r="H7" s="13" t="n">
        <v>59.1</v>
      </c>
      <c r="I7" s="13" t="n">
        <v>129.2</v>
      </c>
    </row>
    <row r="8">
      <c r="A8" s="77" t="inlineStr">
        <is>
          <t>2025 Total</t>
        </is>
      </c>
      <c r="B8" s="78" t="n">
        <v>452.26</v>
      </c>
      <c r="C8" s="79" t="n">
        <v>14812</v>
      </c>
      <c r="D8" s="80" t="n"/>
      <c r="G8" s="6" t="inlineStr">
        <is>
          <t>Sep 2026</t>
        </is>
      </c>
      <c r="H8" s="8" t="n">
        <v>60</v>
      </c>
      <c r="I8" s="8" t="n">
        <v>189.2</v>
      </c>
    </row>
    <row r="9">
      <c r="A9" s="28" t="inlineStr">
        <is>
          <t>Jan 2026</t>
        </is>
      </c>
      <c r="B9" s="29" t="n">
        <v>49</v>
      </c>
      <c r="C9" s="75" t="n">
        <v>1605</v>
      </c>
      <c r="D9" s="76" t="n">
        <v>0.054</v>
      </c>
      <c r="G9" s="11" t="inlineStr">
        <is>
          <t>Oct 2026</t>
        </is>
      </c>
      <c r="H9" s="13" t="n">
        <v>65</v>
      </c>
      <c r="I9" s="13" t="n">
        <v>254.2</v>
      </c>
    </row>
    <row r="10">
      <c r="A10" s="25" t="inlineStr">
        <is>
          <t>Feb 2026</t>
        </is>
      </c>
      <c r="B10" s="26" t="n">
        <v>49</v>
      </c>
      <c r="C10" s="73" t="n">
        <v>1605</v>
      </c>
      <c r="D10" s="74" t="n">
        <v>0.054</v>
      </c>
      <c r="G10" s="6" t="inlineStr">
        <is>
          <t>Nov 2026</t>
        </is>
      </c>
      <c r="H10" s="8" t="n">
        <v>58.5</v>
      </c>
      <c r="I10" s="8" t="n">
        <v>312.7</v>
      </c>
    </row>
    <row r="11">
      <c r="A11" s="28" t="inlineStr">
        <is>
          <t>Mar 2026</t>
        </is>
      </c>
      <c r="B11" s="29" t="n">
        <v>59</v>
      </c>
      <c r="C11" s="75" t="n">
        <v>1932</v>
      </c>
      <c r="D11" s="76" t="n">
        <v>0.065</v>
      </c>
      <c r="G11" s="11" t="inlineStr">
        <is>
          <t>Dec 2026</t>
        </is>
      </c>
      <c r="H11" s="13" t="n">
        <v>57.6</v>
      </c>
      <c r="I11" s="13" t="n">
        <v>370.3</v>
      </c>
    </row>
    <row r="12">
      <c r="A12" s="77" t="inlineStr">
        <is>
          <t>Q1 2026 Total</t>
        </is>
      </c>
      <c r="B12" s="78" t="n">
        <v>157</v>
      </c>
      <c r="C12" s="79" t="n">
        <v>5142</v>
      </c>
      <c r="D12" s="81" t="n">
        <v>0.057</v>
      </c>
      <c r="G12" s="6" t="inlineStr">
        <is>
          <t>Jan 2027</t>
        </is>
      </c>
      <c r="H12" s="8" t="n">
        <v>57.1</v>
      </c>
      <c r="I12" s="8" t="n">
        <v>427.4</v>
      </c>
    </row>
    <row r="13">
      <c r="A13" s="28" t="inlineStr">
        <is>
          <t>Apr 2026</t>
        </is>
      </c>
      <c r="B13" s="29" t="n">
        <v>52</v>
      </c>
      <c r="C13" s="75" t="n">
        <v>1704</v>
      </c>
      <c r="D13" s="76" t="n">
        <v>0.057</v>
      </c>
      <c r="G13" s="11" t="inlineStr">
        <is>
          <t>Feb 2027</t>
        </is>
      </c>
      <c r="H13" s="13" t="n">
        <v>58.5</v>
      </c>
      <c r="I13" s="13" t="n">
        <v>485.9</v>
      </c>
    </row>
    <row r="14">
      <c r="A14" s="25" t="inlineStr">
        <is>
          <t>May 2026</t>
        </is>
      </c>
      <c r="B14" s="26" t="n">
        <v>47</v>
      </c>
      <c r="C14" s="73" t="n">
        <v>1540</v>
      </c>
      <c r="D14" s="74" t="n">
        <v>0.052</v>
      </c>
      <c r="G14" s="6" t="inlineStr">
        <is>
          <t>Mar 2027</t>
        </is>
      </c>
      <c r="H14" s="8" t="n">
        <v>68.2</v>
      </c>
      <c r="I14" s="8" t="n">
        <v>554.1</v>
      </c>
    </row>
    <row r="15">
      <c r="A15" s="28" t="inlineStr">
        <is>
          <t>Jun 2026 (est)</t>
        </is>
      </c>
      <c r="B15" s="29" t="n">
        <v>70.09999999999999</v>
      </c>
      <c r="C15" s="75" t="n">
        <v>2297</v>
      </c>
      <c r="D15" s="76" t="n">
        <v>0.07099999999999999</v>
      </c>
      <c r="G15" s="11" t="inlineStr">
        <is>
          <t>Apr 2027</t>
        </is>
      </c>
      <c r="H15" s="13" t="n">
        <v>71.5</v>
      </c>
      <c r="I15" s="13" t="n">
        <v>625.6</v>
      </c>
    </row>
    <row r="16">
      <c r="A16" s="77" t="inlineStr">
        <is>
          <t>Q2 2026 Total</t>
        </is>
      </c>
      <c r="B16" s="78" t="n">
        <v>169.1</v>
      </c>
      <c r="C16" s="79" t="n">
        <v>5541</v>
      </c>
      <c r="D16" s="81" t="n">
        <v>0.061</v>
      </c>
      <c r="G16" s="6" t="inlineStr">
        <is>
          <t>May 2027</t>
        </is>
      </c>
      <c r="H16" s="8" t="n">
        <v>60.6</v>
      </c>
      <c r="I16" s="8" t="n">
        <v>686.2</v>
      </c>
    </row>
    <row r="17">
      <c r="A17" s="77" t="inlineStr">
        <is>
          <t>H1 2026 Total</t>
        </is>
      </c>
      <c r="B17" s="78" t="n">
        <v>326.1</v>
      </c>
      <c r="C17" s="79" t="n">
        <v>10683</v>
      </c>
      <c r="D17" s="81" t="n">
        <v>0.059</v>
      </c>
      <c r="G17" s="11" t="inlineStr">
        <is>
          <t>Jun 2027</t>
        </is>
      </c>
      <c r="H17" s="13" t="n">
        <v>78</v>
      </c>
      <c r="I17" s="13" t="n">
        <v>764.2</v>
      </c>
    </row>
    <row r="18">
      <c r="A18" s="77" t="inlineStr">
        <is>
          <t>Since Inception Total</t>
        </is>
      </c>
      <c r="B18" s="78" t="n">
        <v>778.36</v>
      </c>
      <c r="C18" s="79" t="n">
        <v>25495</v>
      </c>
      <c r="D18" s="80" t="n"/>
    </row>
    <row r="19">
      <c r="A19" s="77" t="inlineStr">
        <is>
          <t>TTM (12M Trailing)</t>
        </is>
      </c>
      <c r="B19" s="78" t="n">
        <v>587.61</v>
      </c>
      <c r="C19" s="79" t="n">
        <v>19250</v>
      </c>
      <c r="D19" s="81" t="n">
        <v>0.0611</v>
      </c>
    </row>
    <row r="20">
      <c r="A20" s="77" t="inlineStr">
        <is>
          <t>FWD (12M Forward)</t>
        </is>
      </c>
      <c r="B20" s="78" t="n">
        <v>764.37</v>
      </c>
      <c r="C20" s="79" t="n">
        <v>25030</v>
      </c>
      <c r="D20" s="81" t="n">
        <v>0.0643</v>
      </c>
    </row>
    <row r="21">
      <c r="A21" s="28" t="inlineStr">
        <is>
          <t>Monthly Avg (FWD)</t>
        </is>
      </c>
      <c r="B21" s="29" t="n">
        <v>63.7</v>
      </c>
      <c r="C21" s="75" t="n">
        <v>2086</v>
      </c>
      <c r="D21" s="82" t="n"/>
    </row>
    <row r="24">
      <c r="A24" s="43" t="inlineStr">
        <is>
          <t>TABLE B — Payout Ratio Analysis</t>
        </is>
      </c>
    </row>
    <row r="25" ht="28" customHeight="1">
      <c r="A25" s="4" t="inlineStr">
        <is>
          <t>Period</t>
        </is>
      </c>
      <c r="B25" s="4" t="inlineStr">
        <is>
          <t>Dividend
Received (USD)</t>
        </is>
      </c>
      <c r="C25" s="4" t="inlineStr">
        <is>
          <t>Withdrawn
(USD)</t>
        </is>
      </c>
      <c r="D25" s="4" t="inlineStr">
        <is>
          <t>Reinvested
(USD)</t>
        </is>
      </c>
      <c r="E25" s="4" t="inlineStr">
        <is>
          <t>Payout
Ratio %</t>
        </is>
      </c>
    </row>
    <row r="26">
      <c r="A26" s="25" t="inlineStr">
        <is>
          <t>Nov 2025</t>
        </is>
      </c>
      <c r="B26" s="26" t="n">
        <v>17.56</v>
      </c>
      <c r="C26" s="26" t="n">
        <v>6.07</v>
      </c>
      <c r="D26" s="26" t="n">
        <v>11.49</v>
      </c>
      <c r="E26" s="83" t="n">
        <v>0.346</v>
      </c>
    </row>
    <row r="27">
      <c r="A27" s="28" t="inlineStr">
        <is>
          <t>Dec 2025</t>
        </is>
      </c>
      <c r="B27" s="29" t="n">
        <v>434.7</v>
      </c>
      <c r="C27" s="29" t="n">
        <v>10.93</v>
      </c>
      <c r="D27" s="29" t="n">
        <v>423.77</v>
      </c>
      <c r="E27" s="84" t="n">
        <v>0.025</v>
      </c>
    </row>
    <row r="28">
      <c r="A28" s="25" t="inlineStr">
        <is>
          <t>2025 Total</t>
        </is>
      </c>
      <c r="B28" s="26" t="n">
        <v>452.26</v>
      </c>
      <c r="C28" s="26" t="n">
        <v>17</v>
      </c>
      <c r="D28" s="26" t="n">
        <v>435.26</v>
      </c>
      <c r="E28" s="83" t="n">
        <v>0.038</v>
      </c>
    </row>
    <row r="29">
      <c r="A29" s="28" t="inlineStr">
        <is>
          <t>Q1 2026</t>
        </is>
      </c>
      <c r="B29" s="29" t="n">
        <v>157</v>
      </c>
      <c r="C29" s="29" t="n">
        <v>83.33</v>
      </c>
      <c r="D29" s="29" t="n">
        <v>73.67</v>
      </c>
      <c r="E29" s="84" t="n">
        <v>0.531</v>
      </c>
    </row>
    <row r="30">
      <c r="A30" s="25" t="inlineStr">
        <is>
          <t>Q2 2026</t>
        </is>
      </c>
      <c r="B30" s="26" t="n">
        <v>169.1</v>
      </c>
      <c r="C30" s="26" t="n">
        <v>308.44</v>
      </c>
      <c r="D30" s="85" t="n">
        <v>-139.34</v>
      </c>
      <c r="E30" s="86" t="n">
        <v>1.825</v>
      </c>
    </row>
    <row r="31">
      <c r="A31" s="77" t="inlineStr">
        <is>
          <t>Since Inception</t>
        </is>
      </c>
      <c r="B31" s="78" t="n">
        <v>778.36</v>
      </c>
      <c r="C31" s="78" t="n">
        <v>408.77</v>
      </c>
      <c r="D31" s="78" t="n">
        <v>369.59</v>
      </c>
      <c r="E31" s="87" t="n">
        <v>0.525</v>
      </c>
    </row>
    <row r="33">
      <c r="A33" s="88" t="inlineStr">
        <is>
          <t>* Q2 2026: ถอนออก $308 &gt; ปันผลที่ได้รับ $169 → มีการถอนเงินทุนบางส่วนออกมาด้วย (partial capital withdrawal)</t>
        </is>
      </c>
    </row>
    <row r="35">
      <c r="A35" s="38" t="inlineStr">
        <is>
          <t>Chart 7 Data — Monthly Dividend</t>
        </is>
      </c>
      <c r="G35" s="38" t="inlineStr">
        <is>
          <t>Chart 8 — Payout vs Reinvestment</t>
        </is>
      </c>
    </row>
    <row r="36">
      <c r="A36" t="inlineStr">
        <is>
          <t>Month</t>
        </is>
      </c>
      <c r="B36" t="inlineStr">
        <is>
          <t>Amount (USD)</t>
        </is>
      </c>
      <c r="C36" t="inlineStr">
        <is>
          <t>Type</t>
        </is>
      </c>
      <c r="G36" t="inlineStr">
        <is>
          <t>Period</t>
        </is>
      </c>
      <c r="H36" t="inlineStr">
        <is>
          <t>Reinvested</t>
        </is>
      </c>
      <c r="I36" t="inlineStr">
        <is>
          <t>Withdrawn</t>
        </is>
      </c>
    </row>
    <row r="37">
      <c r="A37" t="inlineStr">
        <is>
          <t>Nov 2025</t>
        </is>
      </c>
      <c r="B37" s="42" t="n">
        <v>17.56</v>
      </c>
      <c r="C37" t="inlineStr">
        <is>
          <t>Actual</t>
        </is>
      </c>
      <c r="G37" t="inlineStr">
        <is>
          <t>2025 Total</t>
        </is>
      </c>
      <c r="H37" s="42" t="n">
        <v>435.26</v>
      </c>
      <c r="I37" s="42" t="n">
        <v>17</v>
      </c>
    </row>
    <row r="38">
      <c r="A38" t="inlineStr">
        <is>
          <t>Dec 2025</t>
        </is>
      </c>
      <c r="B38" s="42" t="n">
        <v>434.7</v>
      </c>
      <c r="C38" t="inlineStr">
        <is>
          <t>Actual (Year-end)</t>
        </is>
      </c>
      <c r="G38" t="inlineStr">
        <is>
          <t>Q1 2026</t>
        </is>
      </c>
      <c r="H38" s="42" t="n">
        <v>73.67</v>
      </c>
      <c r="I38" s="42" t="n">
        <v>83.33</v>
      </c>
    </row>
    <row r="39">
      <c r="A39" t="inlineStr">
        <is>
          <t>Jan 2026</t>
        </is>
      </c>
      <c r="B39" s="42" t="n">
        <v>49</v>
      </c>
      <c r="C39" t="inlineStr">
        <is>
          <t>Actual</t>
        </is>
      </c>
      <c r="G39" t="inlineStr">
        <is>
          <t>Q2 2026</t>
        </is>
      </c>
      <c r="H39" s="42" t="n">
        <v>0</v>
      </c>
      <c r="I39" s="42" t="n">
        <v>308.44</v>
      </c>
    </row>
    <row r="40">
      <c r="A40" t="inlineStr">
        <is>
          <t>Feb 2026</t>
        </is>
      </c>
      <c r="B40" s="42" t="n">
        <v>49</v>
      </c>
      <c r="C40" t="inlineStr">
        <is>
          <t>Actual</t>
        </is>
      </c>
    </row>
    <row r="41">
      <c r="A41" t="inlineStr">
        <is>
          <t>Mar 2026</t>
        </is>
      </c>
      <c r="B41" s="42" t="n">
        <v>59</v>
      </c>
      <c r="C41" t="inlineStr">
        <is>
          <t>Actual</t>
        </is>
      </c>
    </row>
    <row r="42">
      <c r="A42" t="inlineStr">
        <is>
          <t>Apr 2026</t>
        </is>
      </c>
      <c r="B42" s="42" t="n">
        <v>52</v>
      </c>
      <c r="C42" t="inlineStr">
        <is>
          <t>Actual</t>
        </is>
      </c>
    </row>
    <row r="43">
      <c r="A43" t="inlineStr">
        <is>
          <t>May 2026</t>
        </is>
      </c>
      <c r="B43" s="42" t="n">
        <v>47</v>
      </c>
      <c r="C43" t="inlineStr">
        <is>
          <t>Actual</t>
        </is>
      </c>
    </row>
    <row r="44">
      <c r="A44" t="inlineStr">
        <is>
          <t>Jun 2026</t>
        </is>
      </c>
      <c r="B44" s="42" t="n">
        <v>70.09999999999999</v>
      </c>
      <c r="C44" t="inlineStr">
        <is>
          <t>Actual (Est)</t>
        </is>
      </c>
    </row>
    <row r="45">
      <c r="A45" t="inlineStr">
        <is>
          <t>Jul 2026</t>
        </is>
      </c>
      <c r="B45" s="42" t="n">
        <v>70.09999999999999</v>
      </c>
      <c r="C45" t="inlineStr">
        <is>
          <t>Forward</t>
        </is>
      </c>
    </row>
    <row r="46">
      <c r="A46" t="inlineStr">
        <is>
          <t>Aug 2026</t>
        </is>
      </c>
      <c r="B46" s="42" t="n">
        <v>59.1</v>
      </c>
      <c r="C46" t="inlineStr">
        <is>
          <t>Forward</t>
        </is>
      </c>
    </row>
    <row r="47">
      <c r="A47" t="inlineStr">
        <is>
          <t>Sep 2026</t>
        </is>
      </c>
      <c r="B47" s="42" t="n">
        <v>60</v>
      </c>
      <c r="C47" t="inlineStr">
        <is>
          <t>Forward</t>
        </is>
      </c>
    </row>
    <row r="48">
      <c r="A48" t="inlineStr">
        <is>
          <t>Oct 2026</t>
        </is>
      </c>
      <c r="B48" s="42" t="n">
        <v>65</v>
      </c>
      <c r="C48" t="inlineStr">
        <is>
          <t>Forward</t>
        </is>
      </c>
    </row>
    <row r="49">
      <c r="A49" t="inlineStr">
        <is>
          <t>Nov 2026</t>
        </is>
      </c>
      <c r="B49" s="42" t="n">
        <v>58.5</v>
      </c>
      <c r="C49" t="inlineStr">
        <is>
          <t>Forward</t>
        </is>
      </c>
    </row>
    <row r="50">
      <c r="A50" t="inlineStr">
        <is>
          <t>Dec 2026</t>
        </is>
      </c>
      <c r="B50" s="42" t="n">
        <v>57.6</v>
      </c>
      <c r="C50" t="inlineStr">
        <is>
          <t>Forward</t>
        </is>
      </c>
    </row>
  </sheetData>
  <mergeCells count="6">
    <mergeCell ref="A4:E4"/>
    <mergeCell ref="A24:E24"/>
    <mergeCell ref="A2:H2"/>
    <mergeCell ref="A33:E33"/>
    <mergeCell ref="G4:I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SENTINEL</t>
        </is>
      </c>
    </row>
    <row r="2" ht="20" customHeight="1">
      <c r="A2" s="2" t="inlineStr">
        <is>
          <t>แผนปรับสมดุล Phase 1 | Rebalance Plan — 9 June 2026</t>
        </is>
      </c>
    </row>
    <row r="4" ht="20" customHeight="1">
      <c r="A4" s="89" t="inlineStr">
        <is>
          <t>🔴  TABLE A — SELL ORDERS (Execute Today, Before CPI)</t>
        </is>
      </c>
    </row>
    <row r="5" ht="28" customHeight="1">
      <c r="A5" s="4" t="inlineStr">
        <is>
          <t>#</t>
        </is>
      </c>
      <c r="B5" s="4" t="inlineStr">
        <is>
          <t>Ticker</t>
        </is>
      </c>
      <c r="C5" s="4" t="inlineStr">
        <is>
          <t>Action</t>
        </is>
      </c>
      <c r="D5" s="4" t="inlineStr">
        <is>
          <t>Units</t>
        </is>
      </c>
      <c r="E5" s="4" t="inlineStr">
        <is>
          <t>Price
(USD)</t>
        </is>
      </c>
      <c r="F5" s="4" t="inlineStr">
        <is>
          <t>Proceeds
(USD)</t>
        </is>
      </c>
      <c r="G5" s="4" t="inlineStr">
        <is>
          <t>P&amp;L %</t>
        </is>
      </c>
      <c r="H5" s="4" t="inlineStr">
        <is>
          <t>เหตุผล / Reason</t>
        </is>
      </c>
    </row>
    <row r="6">
      <c r="A6" s="6" t="n">
        <v>1</v>
      </c>
      <c r="B6" s="6" t="inlineStr">
        <is>
          <t>GPIQ</t>
        </is>
      </c>
      <c r="C6" s="6" t="inlineStr">
        <is>
          <t>SELL</t>
        </is>
      </c>
      <c r="D6" s="6" t="n">
        <v>38</v>
      </c>
      <c r="E6" s="6" t="n">
        <v>57.62</v>
      </c>
      <c r="F6" s="8" t="n">
        <v>2189.56</v>
      </c>
      <c r="G6" s="27" t="n">
        <v>0.1069</v>
      </c>
      <c r="H6" s="7" t="inlineStr">
        <is>
          <t>ลด Income concentration 36%→18%</t>
        </is>
      </c>
    </row>
    <row r="7">
      <c r="A7" s="6" t="n">
        <v>2</v>
      </c>
      <c r="B7" s="6" t="inlineStr">
        <is>
          <t>BALI</t>
        </is>
      </c>
      <c r="C7" s="6" t="inlineStr">
        <is>
          <t>SELL</t>
        </is>
      </c>
      <c r="D7" s="6" t="n">
        <v>35</v>
      </c>
      <c r="E7" s="6" t="n">
        <v>33.41</v>
      </c>
      <c r="F7" s="8" t="n">
        <v>1169.35</v>
      </c>
      <c r="G7" s="27" t="n">
        <v>0.043</v>
      </c>
      <c r="H7" s="7" t="inlineStr">
        <is>
          <t>ล็อคกำไร +4.3% ก่อน CPI</t>
        </is>
      </c>
    </row>
    <row r="8">
      <c r="A8" s="90" t="n">
        <v>3</v>
      </c>
      <c r="B8" s="90" t="inlineStr">
        <is>
          <t>AVDV</t>
        </is>
      </c>
      <c r="C8" s="90" t="inlineStr">
        <is>
          <t>SELL</t>
        </is>
      </c>
      <c r="D8" s="90" t="n">
        <v>3</v>
      </c>
      <c r="E8" s="90" t="n">
        <v>106.27</v>
      </c>
      <c r="F8" s="91" t="n">
        <v>318.81</v>
      </c>
      <c r="G8" s="92" t="n">
        <v>-0.0313</v>
      </c>
      <c r="H8" s="93" t="inlineStr">
        <is>
          <t>Loss harvest / ปรับโครงสร้าง</t>
        </is>
      </c>
    </row>
    <row r="9">
      <c r="A9" s="90" t="n">
        <v>4</v>
      </c>
      <c r="B9" s="90" t="inlineStr">
        <is>
          <t>DFIV</t>
        </is>
      </c>
      <c r="C9" s="90" t="inlineStr">
        <is>
          <t>SELL</t>
        </is>
      </c>
      <c r="D9" s="90" t="n">
        <v>5.75</v>
      </c>
      <c r="E9" s="90" t="n">
        <v>54.87</v>
      </c>
      <c r="F9" s="91" t="n">
        <v>315.5</v>
      </c>
      <c r="G9" s="92" t="n">
        <v>-0.0174</v>
      </c>
      <c r="H9" s="93" t="inlineStr">
        <is>
          <t>Loss harvest / ปรับโครงสร้าง</t>
        </is>
      </c>
    </row>
    <row r="10">
      <c r="A10" s="90" t="n">
        <v>5</v>
      </c>
      <c r="B10" s="90" t="inlineStr">
        <is>
          <t>CIG</t>
        </is>
      </c>
      <c r="C10" s="90" t="inlineStr">
        <is>
          <t>SELL</t>
        </is>
      </c>
      <c r="D10" s="90" t="n">
        <v>50</v>
      </c>
      <c r="E10" s="90" t="n">
        <v>2.04</v>
      </c>
      <c r="F10" s="91" t="n">
        <v>102</v>
      </c>
      <c r="G10" s="92" t="n">
        <v>-0.079</v>
      </c>
      <c r="H10" s="93" t="inlineStr">
        <is>
          <t>Loss harvest / ตัด EM risk</t>
        </is>
      </c>
    </row>
    <row r="11">
      <c r="A11" s="41" t="inlineStr"/>
      <c r="B11" s="41" t="inlineStr">
        <is>
          <t>TOTAL</t>
        </is>
      </c>
      <c r="C11" s="41" t="inlineStr"/>
      <c r="D11" s="41" t="inlineStr"/>
      <c r="E11" s="41" t="inlineStr"/>
      <c r="F11" s="22" t="n">
        <v>4095.22</v>
      </c>
      <c r="G11" s="41" t="inlineStr"/>
      <c r="H11" s="21" t="inlineStr"/>
    </row>
    <row r="14" ht="20" customHeight="1">
      <c r="A14" s="94" t="inlineStr">
        <is>
          <t>🔄  TABLE B — โครงสร้างพอร์ตใหม่: 4 → 3 ตะกร้า (3-Portfolio Target)</t>
        </is>
      </c>
    </row>
    <row r="15" ht="28" customHeight="1">
      <c r="A15" s="4" t="inlineStr">
        <is>
          <t>พอร์ต</t>
        </is>
      </c>
      <c r="B15" s="4" t="inlineStr">
        <is>
          <t>Current
Value ($)</t>
        </is>
      </c>
      <c r="C15" s="4" t="inlineStr">
        <is>
          <t>Current
%</t>
        </is>
      </c>
      <c r="D15" s="4" t="inlineStr">
        <is>
          <t>Target
%</t>
        </is>
      </c>
      <c r="E15" s="4" t="inlineStr">
        <is>
          <t>Target
Value ($)</t>
        </is>
      </c>
      <c r="F15" s="4" t="inlineStr">
        <is>
          <t>Action</t>
        </is>
      </c>
    </row>
    <row r="16">
      <c r="A16" s="7" t="inlineStr">
        <is>
          <t>Sentinel Global (expanded)</t>
        </is>
      </c>
      <c r="B16" s="44" t="n">
        <v>9990</v>
      </c>
      <c r="C16" s="9" t="n">
        <v>0.84</v>
      </c>
      <c r="D16" s="9" t="n">
        <v>0.8</v>
      </c>
      <c r="E16" s="44" t="n">
        <v>9510</v>
      </c>
      <c r="F16" s="7" t="inlineStr">
        <is>
          <t>Rebalance internals — add SPMO/VOO/SCHD</t>
        </is>
      </c>
    </row>
    <row r="17">
      <c r="A17" s="12" t="inlineStr">
        <is>
          <t>Gambit Alpha</t>
        </is>
      </c>
      <c r="B17" s="45" t="n">
        <v>710</v>
      </c>
      <c r="C17" s="14" t="n">
        <v>0.06</v>
      </c>
      <c r="D17" s="14" t="n">
        <v>0.08</v>
      </c>
      <c r="E17" s="45" t="n">
        <v>950</v>
      </c>
      <c r="F17" s="12" t="inlineStr">
        <is>
          <t>Deploy cash post-CPI → RKLB/CRWV</t>
        </is>
      </c>
    </row>
    <row r="18">
      <c r="A18" s="7" t="inlineStr">
        <is>
          <t>Agis Diversify</t>
        </is>
      </c>
      <c r="B18" s="44" t="n">
        <v>1201</v>
      </c>
      <c r="C18" s="9" t="n">
        <v>0.1</v>
      </c>
      <c r="D18" s="9" t="n">
        <v>0.12</v>
      </c>
      <c r="E18" s="44" t="n">
        <v>1427</v>
      </c>
      <c r="F18" s="7" t="inlineStr">
        <is>
          <t>Hold O/MAIN — wait rate cut catalyst</t>
        </is>
      </c>
    </row>
    <row r="21" ht="20" customHeight="1">
      <c r="A21" s="95" t="inlineStr">
        <is>
          <t>🟢  TABLE C — BUY ORDERS (Post-CPI — 10 Jun 2026 onward)</t>
        </is>
      </c>
    </row>
    <row r="22" ht="28" customHeight="1">
      <c r="A22" s="4" t="inlineStr">
        <is>
          <t>#</t>
        </is>
      </c>
      <c r="B22" s="4" t="inlineStr">
        <is>
          <t>Ticker</t>
        </is>
      </c>
      <c r="C22" s="4" t="inlineStr">
        <is>
          <t>Action</t>
        </is>
      </c>
      <c r="D22" s="4" t="inlineStr">
        <is>
          <t>Units
(est)</t>
        </is>
      </c>
      <c r="E22" s="4" t="inlineStr">
        <is>
          <t>Target Price
(USD)</t>
        </is>
      </c>
      <c r="F22" s="4" t="inlineStr">
        <is>
          <t>Amount
(USD)</t>
        </is>
      </c>
      <c r="G22" s="4" t="inlineStr">
        <is>
          <t>Portfolio</t>
        </is>
      </c>
      <c r="H22" s="4" t="inlineStr">
        <is>
          <t>เงื่อนไข / Condition</t>
        </is>
      </c>
    </row>
    <row r="23">
      <c r="A23" s="62" t="n">
        <v>1</v>
      </c>
      <c r="B23" s="62" t="inlineStr">
        <is>
          <t>SPMO</t>
        </is>
      </c>
      <c r="C23" s="62" t="inlineStr">
        <is>
          <t>BUY</t>
        </is>
      </c>
      <c r="D23" s="62" t="inlineStr">
        <is>
          <t>~8.8</t>
        </is>
      </c>
      <c r="E23" s="62" t="inlineStr">
        <is>
          <t>~148</t>
        </is>
      </c>
      <c r="F23" s="96" t="n">
        <v>1300</v>
      </c>
      <c r="G23" s="62" t="inlineStr">
        <is>
          <t>Sentinel</t>
        </is>
      </c>
      <c r="H23" s="61" t="inlineStr">
        <is>
          <t>หลัง CPI ทุก scenario</t>
        </is>
      </c>
    </row>
    <row r="24">
      <c r="A24" s="11" t="n">
        <v>2</v>
      </c>
      <c r="B24" s="11" t="inlineStr">
        <is>
          <t>VOO</t>
        </is>
      </c>
      <c r="C24" s="11" t="inlineStr">
        <is>
          <t>BUY</t>
        </is>
      </c>
      <c r="D24" s="11" t="inlineStr">
        <is>
          <t>~2.0</t>
        </is>
      </c>
      <c r="E24" s="11" t="inlineStr">
        <is>
          <t>~680</t>
        </is>
      </c>
      <c r="F24" s="45" t="n">
        <v>1400</v>
      </c>
      <c r="G24" s="11" t="inlineStr">
        <is>
          <t>Sentinel</t>
        </is>
      </c>
      <c r="H24" s="12" t="inlineStr">
        <is>
          <t>หลัง CPI ทุก scenario</t>
        </is>
      </c>
    </row>
    <row r="25">
      <c r="A25" s="62" t="n">
        <v>3</v>
      </c>
      <c r="B25" s="62" t="inlineStr">
        <is>
          <t>SCHD</t>
        </is>
      </c>
      <c r="C25" s="62" t="inlineStr">
        <is>
          <t>BUY</t>
        </is>
      </c>
      <c r="D25" s="62" t="inlineStr">
        <is>
          <t>~20</t>
        </is>
      </c>
      <c r="E25" s="62" t="inlineStr">
        <is>
          <t>~32.50</t>
        </is>
      </c>
      <c r="F25" s="96" t="n">
        <v>650</v>
      </c>
      <c r="G25" s="62" t="inlineStr">
        <is>
          <t>Sentinel</t>
        </is>
      </c>
      <c r="H25" s="61" t="inlineStr">
        <is>
          <t>หลัง CPI ทุก scenario</t>
        </is>
      </c>
    </row>
    <row r="26">
      <c r="A26" s="11" t="n">
        <v>4</v>
      </c>
      <c r="B26" s="11" t="inlineStr">
        <is>
          <t>JAAA</t>
        </is>
      </c>
      <c r="C26" s="11" t="inlineStr">
        <is>
          <t>BUY</t>
        </is>
      </c>
      <c r="D26" s="11" t="inlineStr">
        <is>
          <t>~0.8</t>
        </is>
      </c>
      <c r="E26" s="11" t="inlineStr">
        <is>
          <t>~125</t>
        </is>
      </c>
      <c r="F26" s="45" t="n">
        <v>100</v>
      </c>
      <c r="G26" s="11" t="inlineStr">
        <is>
          <t>Sentinel</t>
        </is>
      </c>
      <c r="H26" s="12" t="inlineStr">
        <is>
          <t>Top-up buffer</t>
        </is>
      </c>
    </row>
    <row r="27">
      <c r="A27" s="62" t="n">
        <v>5</v>
      </c>
      <c r="B27" s="62" t="inlineStr">
        <is>
          <t>RKLB</t>
        </is>
      </c>
      <c r="C27" s="62" t="inlineStr">
        <is>
          <t>BUY</t>
        </is>
      </c>
      <c r="D27" s="62" t="inlineStr">
        <is>
          <t>~14</t>
        </is>
      </c>
      <c r="E27" s="62" t="inlineStr">
        <is>
          <t>~21</t>
        </is>
      </c>
      <c r="F27" s="62" t="inlineStr">
        <is>
          <t>$200–300</t>
        </is>
      </c>
      <c r="G27" s="62" t="inlineStr">
        <is>
          <t>Gambit</t>
        </is>
      </c>
      <c r="H27" s="61" t="inlineStr">
        <is>
          <t>CPI ≤ 4.0%</t>
        </is>
      </c>
    </row>
    <row r="28">
      <c r="A28" s="11" t="n">
        <v>6</v>
      </c>
      <c r="B28" s="11" t="inlineStr">
        <is>
          <t>CRWV</t>
        </is>
      </c>
      <c r="C28" s="11" t="inlineStr">
        <is>
          <t>BUY</t>
        </is>
      </c>
      <c r="D28" s="11" t="inlineStr">
        <is>
          <t>~2</t>
        </is>
      </c>
      <c r="E28" s="11" t="inlineStr">
        <is>
          <t>~125</t>
        </is>
      </c>
      <c r="F28" s="11" t="inlineStr">
        <is>
          <t>$200–300</t>
        </is>
      </c>
      <c r="G28" s="11" t="inlineStr">
        <is>
          <t>Gambit</t>
        </is>
      </c>
      <c r="H28" s="12" t="inlineStr">
        <is>
          <t>CPI ≤ 4.0%</t>
        </is>
      </c>
    </row>
    <row r="31" ht="20" customHeight="1">
      <c r="A31" s="97" t="inlineStr">
        <is>
          <t>📊  CPI DECISION FRAMEWORK (10 Jun 2026, 8:30 AM ET / 20:30 น. ไทย)</t>
        </is>
      </c>
    </row>
    <row r="32">
      <c r="A32" s="4" t="inlineStr">
        <is>
          <t>ผล CPI</t>
        </is>
      </c>
      <c r="B32" s="4" t="inlineStr">
        <is>
          <t>การตลาดที่คาด</t>
        </is>
      </c>
      <c r="C32" s="4" t="inlineStr">
        <is>
          <t>Action</t>
        </is>
      </c>
    </row>
    <row r="33">
      <c r="A33" s="98" t="inlineStr">
        <is>
          <t>CPI &gt; 4.0%  (Hot)</t>
        </is>
      </c>
      <c r="B33" s="99" t="inlineStr">
        <is>
          <t>ตลาดลง 2–3%, bond yields spike</t>
        </is>
      </c>
      <c r="C33" s="98" t="inlineStr">
        <is>
          <t>🔴 ถือ cash ทั้งหมด รอ 2–3 วัน ซื้อใน dip</t>
        </is>
      </c>
      <c r="D33" s="100" t="n"/>
      <c r="E33" s="100" t="n"/>
      <c r="F33" s="100" t="n"/>
      <c r="G33" s="100" t="n"/>
      <c r="H33" s="101" t="n"/>
    </row>
    <row r="34">
      <c r="A34" s="102" t="inlineStr">
        <is>
          <t>CPI 3.5–4.0%  (In-line)</t>
        </is>
      </c>
      <c r="B34" s="103" t="inlineStr">
        <is>
          <t>ตลาดทรงตัว</t>
        </is>
      </c>
      <c r="C34" s="102" t="inlineStr">
        <is>
          <t>🟡 Deploy 50%: SPMO+VOO+SCHD</t>
        </is>
      </c>
      <c r="D34" s="100" t="n"/>
      <c r="E34" s="100" t="n"/>
      <c r="F34" s="100" t="n"/>
      <c r="G34" s="100" t="n"/>
      <c r="H34" s="101" t="n"/>
    </row>
    <row r="35">
      <c r="A35" s="104" t="inlineStr">
        <is>
          <t>CPI &lt; 3.5%  (Cool)</t>
        </is>
      </c>
      <c r="B35" s="105" t="inlineStr">
        <is>
          <t>Relief rally 1.5–3%</t>
        </is>
      </c>
      <c r="C35" s="104" t="inlineStr">
        <is>
          <t>🟢 Deploy เต็มที่ + เพิ่ม RKLB/CRWV</t>
        </is>
      </c>
      <c r="D35" s="100" t="n"/>
      <c r="E35" s="100" t="n"/>
      <c r="F35" s="100" t="n"/>
      <c r="G35" s="100" t="n"/>
      <c r="H35" s="101" t="n"/>
    </row>
    <row r="37">
      <c r="A37" t="inlineStr">
        <is>
          <t>Before Allocation</t>
        </is>
      </c>
      <c r="D37" t="inlineStr">
        <is>
          <t>After Allocation</t>
        </is>
      </c>
    </row>
    <row r="38">
      <c r="A38" t="inlineStr">
        <is>
          <t>Portfolio</t>
        </is>
      </c>
      <c r="B38" t="inlineStr">
        <is>
          <t>Weight</t>
        </is>
      </c>
      <c r="D38" t="inlineStr">
        <is>
          <t>Portfolio</t>
        </is>
      </c>
      <c r="E38" t="inlineStr">
        <is>
          <t>Weight</t>
        </is>
      </c>
    </row>
    <row r="39">
      <c r="A39" t="inlineStr">
        <is>
          <t>Sentinel Global</t>
        </is>
      </c>
      <c r="B39" t="n">
        <v>0.252</v>
      </c>
      <c r="D39" t="inlineStr">
        <is>
          <t>Sentinel Global</t>
        </is>
      </c>
      <c r="E39" t="n">
        <v>0.8</v>
      </c>
    </row>
    <row r="40">
      <c r="A40" t="inlineStr">
        <is>
          <t>Gambit Alpha</t>
        </is>
      </c>
      <c r="B40" t="n">
        <v>0.06</v>
      </c>
      <c r="D40" t="inlineStr">
        <is>
          <t>Gambit Alpha</t>
        </is>
      </c>
      <c r="E40" t="n">
        <v>0.08</v>
      </c>
    </row>
    <row r="41">
      <c r="A41" t="inlineStr">
        <is>
          <t>Agis Diversify</t>
        </is>
      </c>
      <c r="B41" t="n">
        <v>0.101</v>
      </c>
      <c r="D41" t="inlineStr">
        <is>
          <t>Agis Diversify</t>
        </is>
      </c>
      <c r="E41" t="n">
        <v>0.12</v>
      </c>
    </row>
    <row r="42">
      <c r="A42" t="inlineStr">
        <is>
          <t>Kinetic Income</t>
        </is>
      </c>
      <c r="B42" t="n">
        <v>0.587</v>
      </c>
    </row>
  </sheetData>
  <mergeCells count="9">
    <mergeCell ref="C33:H33"/>
    <mergeCell ref="A4:H4"/>
    <mergeCell ref="A21:H21"/>
    <mergeCell ref="A2:H2"/>
    <mergeCell ref="A14:H14"/>
    <mergeCell ref="C35:H35"/>
    <mergeCell ref="A1:H1"/>
    <mergeCell ref="A31:H31"/>
    <mergeCell ref="C34:H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2026-06-09T07:51:21Z</dcterms:created>
  <dcterms:modified xsi:type="dcterms:W3CDTF">2026-06-09T07:51:22Z</dcterms:modified>
</cp:coreProperties>
</file>