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dustry &amp; Competition" sheetId="2" state="visible" r:id="rId2"/>
    <sheet name="Financials &amp; Earnings" sheetId="3" state="visible" r:id="rId3"/>
    <sheet name="Thesis, Catalysts &amp; Risks" sheetId="4" state="visible" r:id="rId4"/>
    <sheet name="3-Statement Model" sheetId="5" state="visible" r:id="rId5"/>
    <sheet name="Valuation &amp;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b val="1"/>
      <color rgb="00E8B84B"/>
      <sz val="14"/>
    </font>
    <font>
      <i val="1"/>
      <color rgb="00AAAAAA"/>
      <sz val="10"/>
    </font>
    <font>
      <b val="1"/>
      <color rgb="0027AE60"/>
      <sz val="12"/>
    </font>
    <font>
      <b val="1"/>
      <color rgb="00FFFFFF"/>
      <sz val="11"/>
    </font>
    <font>
      <b val="1"/>
      <color rgb="00FFFFFF"/>
      <sz val="10"/>
    </font>
    <font>
      <color rgb="001A1A2E"/>
      <sz val="10"/>
    </font>
    <font>
      <b val="1"/>
      <color rgb="0027AE60"/>
      <sz val="10"/>
    </font>
    <font>
      <color rgb="0027AE60"/>
      <sz val="10"/>
    </font>
    <font>
      <b val="1"/>
      <color rgb="00E8B84B"/>
      <sz val="10"/>
    </font>
    <font>
      <b val="1"/>
      <color rgb="00C0392B"/>
      <sz val="10"/>
    </font>
    <font>
      <color rgb="00C0392B"/>
      <sz val="10"/>
    </font>
    <font>
      <i val="1"/>
      <color rgb="00888888"/>
      <sz val="9"/>
    </font>
    <font>
      <b val="1"/>
      <color rgb="001A1A2E"/>
      <sz val="10"/>
    </font>
    <font>
      <color rgb="00E8B84B"/>
      <sz val="10"/>
    </font>
    <font>
      <b val="1"/>
      <color rgb="00E67E22"/>
      <sz val="10"/>
    </font>
    <font>
      <b val="1"/>
      <color rgb="00F39C12"/>
      <sz val="10"/>
    </font>
    <font>
      <color rgb="000000CD"/>
      <sz val="10"/>
    </font>
  </fonts>
  <fills count="13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2010"/>
      </patternFill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7" borderId="0" pivotButton="0" quotePrefix="0" xfId="0"/>
    <xf numFmtId="0" fontId="11" fillId="8" borderId="0" pivotButton="0" quotePrefix="0" xfId="0"/>
    <xf numFmtId="0" fontId="1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8" customWidth="1" min="7" max="7"/>
    <col width="28" customWidth="1" min="8" max="8"/>
  </cols>
  <sheetData>
    <row r="1" ht="30" customHeight="1">
      <c r="A1" s="1" t="inlineStr">
        <is>
          <t xml:space="preserve">  RKLB — Rocket Lab USA | Equity Research</t>
        </is>
      </c>
    </row>
    <row r="2">
      <c r="A2" s="2" t="inlineStr">
        <is>
          <t>Space Launch &amp; Spacecraft Manufacturing | June 10, 2026</t>
        </is>
      </c>
    </row>
    <row r="3" ht="26" customHeight="1">
      <c r="A3" s="3" t="inlineStr">
        <is>
          <t xml:space="preserve">  RATING: BUY  |  TARGET PRICE: $130  |  CURRENT: $113.65  |  UPSIDE: +14.4%</t>
        </is>
      </c>
    </row>
    <row r="5" ht="22" customHeight="1">
      <c r="A5" s="4" t="inlineStr">
        <is>
          <t xml:space="preserve">  KEY METRICS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Metric</t>
        </is>
      </c>
      <c r="D6" s="5" t="inlineStr">
        <is>
          <t>Value</t>
        </is>
      </c>
      <c r="E6" s="5" t="inlineStr">
        <is>
          <t>Metric</t>
        </is>
      </c>
      <c r="F6" s="5" t="inlineStr">
        <is>
          <t>Value</t>
        </is>
      </c>
      <c r="G6" s="5" t="inlineStr">
        <is>
          <t>Metric</t>
        </is>
      </c>
      <c r="H6" s="5" t="inlineStr">
        <is>
          <t>Value</t>
        </is>
      </c>
    </row>
    <row r="7">
      <c r="A7" s="6" t="inlineStr">
        <is>
          <t>Current Price</t>
        </is>
      </c>
      <c r="B7" s="6" t="inlineStr">
        <is>
          <t>$113.65</t>
        </is>
      </c>
      <c r="C7" s="6" t="inlineStr">
        <is>
          <t>Market Cap</t>
        </is>
      </c>
      <c r="D7" s="6" t="inlineStr">
        <is>
          <t>$57.4B</t>
        </is>
      </c>
      <c r="E7" s="6" t="inlineStr">
        <is>
          <t>52W High</t>
        </is>
      </c>
      <c r="F7" s="6" t="inlineStr">
        <is>
          <t>$145.20</t>
        </is>
      </c>
      <c r="G7" s="6" t="inlineStr">
        <is>
          <t>52W Low</t>
        </is>
      </c>
      <c r="H7" s="6" t="inlineStr">
        <is>
          <t>$62.30</t>
        </is>
      </c>
    </row>
    <row r="8">
      <c r="A8" s="7" t="inlineStr">
        <is>
          <t>EV</t>
        </is>
      </c>
      <c r="B8" s="7" t="inlineStr">
        <is>
          <t>~$57.1B</t>
        </is>
      </c>
      <c r="C8" s="7" t="inlineStr">
        <is>
          <t>Net Cash</t>
        </is>
      </c>
      <c r="D8" s="7" t="inlineStr">
        <is>
          <t>~$300M</t>
        </is>
      </c>
      <c r="E8" s="7" t="inlineStr">
        <is>
          <t>FY2025E Rev</t>
        </is>
      </c>
      <c r="F8" s="7" t="inlineStr">
        <is>
          <t>$560M</t>
        </is>
      </c>
      <c r="G8" s="7" t="inlineStr">
        <is>
          <t>Rev Growth</t>
        </is>
      </c>
      <c r="H8" s="7" t="inlineStr">
        <is>
          <t>~+28%</t>
        </is>
      </c>
    </row>
    <row r="9">
      <c r="A9" s="6" t="inlineStr">
        <is>
          <t>Gross Margin (25E)</t>
        </is>
      </c>
      <c r="B9" s="6" t="inlineStr">
        <is>
          <t>~29%</t>
        </is>
      </c>
      <c r="C9" s="6" t="inlineStr">
        <is>
          <t>Launch Backlog</t>
        </is>
      </c>
      <c r="D9" s="6" t="inlineStr">
        <is>
          <t>~$1.5B</t>
        </is>
      </c>
      <c r="E9" s="6" t="inlineStr">
        <is>
          <t>Neutron Status</t>
        </is>
      </c>
      <c r="F9" s="6" t="inlineStr">
        <is>
          <t>Dev, H2 2026</t>
        </is>
      </c>
      <c r="G9" s="6" t="inlineStr">
        <is>
          <t>Customers</t>
        </is>
      </c>
      <c r="H9" s="6" t="inlineStr">
        <is>
          <t>NASA, DoD, Comm</t>
        </is>
      </c>
    </row>
    <row r="10">
      <c r="A10" s="7" t="inlineStr">
        <is>
          <t>IPO Method</t>
        </is>
      </c>
      <c r="B10" s="7" t="inlineStr">
        <is>
          <t>SPAC 2021</t>
        </is>
      </c>
      <c r="C10" s="7" t="inlineStr">
        <is>
          <t>Shares (dil)</t>
        </is>
      </c>
      <c r="D10" s="7" t="inlineStr">
        <is>
          <t>~505M</t>
        </is>
      </c>
      <c r="E10" s="7" t="inlineStr">
        <is>
          <t>EBITDA (25E)</t>
        </is>
      </c>
      <c r="F10" s="7" t="inlineStr">
        <is>
          <t>$(30M)</t>
        </is>
      </c>
      <c r="G10" s="7" t="inlineStr">
        <is>
          <t>FCF (27E)</t>
        </is>
      </c>
      <c r="H10" s="7" t="inlineStr">
        <is>
          <t>$50M</t>
        </is>
      </c>
    </row>
    <row r="12" ht="22" customHeight="1">
      <c r="A12" s="4" t="inlineStr">
        <is>
          <t xml:space="preserve">  TARGET PRICE</t>
        </is>
      </c>
    </row>
    <row r="13">
      <c r="A13" s="5" t="inlineStr">
        <is>
          <t>Scenario</t>
        </is>
      </c>
      <c r="B13" s="5" t="inlineStr">
        <is>
          <t>Target</t>
        </is>
      </c>
      <c r="C13" s="5" t="inlineStr">
        <is>
          <t>Upside</t>
        </is>
      </c>
      <c r="D13" s="5" t="inlineStr">
        <is>
          <t>Probability</t>
        </is>
      </c>
      <c r="E13" s="5" t="inlineStr">
        <is>
          <t>Key Driver</t>
        </is>
      </c>
    </row>
    <row r="14">
      <c r="A14" s="8" t="inlineStr">
        <is>
          <t>BULL</t>
        </is>
      </c>
      <c r="B14" s="8" t="inlineStr">
        <is>
          <t>$180</t>
        </is>
      </c>
      <c r="C14" s="9" t="inlineStr">
        <is>
          <t>+58.4%</t>
        </is>
      </c>
      <c r="D14" s="7" t="inlineStr">
        <is>
          <t>25%</t>
        </is>
      </c>
      <c r="E14" s="10" t="inlineStr">
        <is>
          <t>Neutron success + DoD anchor contracts</t>
        </is>
      </c>
    </row>
    <row r="15">
      <c r="A15" s="11" t="inlineStr">
        <is>
          <t>BASE</t>
        </is>
      </c>
      <c r="B15" s="11" t="inlineStr">
        <is>
          <t>$130</t>
        </is>
      </c>
      <c r="C15" s="12" t="inlineStr">
        <is>
          <t>+14.4%</t>
        </is>
      </c>
      <c r="D15" s="6" t="inlineStr">
        <is>
          <t>55%</t>
        </is>
      </c>
      <c r="E15" s="13" t="inlineStr">
        <is>
          <t>Electron cadence + early Neutron revenue</t>
        </is>
      </c>
    </row>
    <row r="16">
      <c r="A16" s="14" t="inlineStr">
        <is>
          <t>BEAR</t>
        </is>
      </c>
      <c r="B16" s="14" t="inlineStr">
        <is>
          <t>$60</t>
        </is>
      </c>
      <c r="C16" s="15" t="inlineStr">
        <is>
          <t>-47.2%</t>
        </is>
      </c>
      <c r="D16" s="7" t="inlineStr">
        <is>
          <t>20%</t>
        </is>
      </c>
      <c r="E16" s="10" t="inlineStr">
        <is>
          <t>Neutron delay + competition intensifies</t>
        </is>
      </c>
    </row>
    <row r="18" ht="22" customHeight="1">
      <c r="A18" s="4" t="inlineStr">
        <is>
          <t xml:space="preserve">  INVESTMENT THESIS</t>
        </is>
      </c>
    </row>
    <row r="19">
      <c r="A19" s="16" t="inlineStr">
        <is>
          <t xml:space="preserve">  ✓  Only reusable small-launch rocket competitor — captures Falcon-9 addressable gap</t>
        </is>
      </c>
    </row>
    <row r="20">
      <c r="A20" s="16" t="inlineStr">
        <is>
          <t xml:space="preserve">  ✓  Neutron medium-lift rocket (2026) addresses $8B+ medium launch market</t>
        </is>
      </c>
    </row>
    <row r="21">
      <c r="A21" s="16" t="inlineStr">
        <is>
          <t xml:space="preserve">  ✓  Vertical integration: Electron + Photon bus + satellite components = full service</t>
        </is>
      </c>
    </row>
    <row r="22">
      <c r="A22" s="16" t="inlineStr">
        <is>
          <t xml:space="preserve">  ✓  NASA ESCAPADE Mars mission + DoD/NRO classified contracts provide anchor revenue</t>
        </is>
      </c>
    </row>
    <row r="23">
      <c r="A23" s="16" t="inlineStr">
        <is>
          <t xml:space="preserve">  ✓  Space systems (spacecraft) growing to 50%+ of revenue — higher-margin recurring</t>
        </is>
      </c>
    </row>
    <row r="25">
      <c r="A25" s="17" t="inlineStr">
        <is>
          <t xml:space="preserve">  ✗  SpaceX Falcon-9 dominance — 90%+ market share, aggressive pricing</t>
        </is>
      </c>
    </row>
    <row r="26">
      <c r="A26" s="17" t="inlineStr">
        <is>
          <t xml:space="preserve">  ✗  Neutron development risk — delay or cost overrun highly possible</t>
        </is>
      </c>
    </row>
    <row r="27">
      <c r="A27" s="17" t="inlineStr">
        <is>
          <t xml:space="preserve">  ✗  Launch failure risk — single incident destroys customer confidence</t>
        </is>
      </c>
    </row>
    <row r="28">
      <c r="A28" s="17" t="inlineStr">
        <is>
          <t xml:space="preserve">  ✗  Valuation stretched &gt;100x revenue; requires sustained high growth</t>
        </is>
      </c>
    </row>
    <row r="32">
      <c r="A32" s="18" t="inlineStr">
        <is>
          <t>Rocket Lab USA (RKLB) | Equity Research | Sentinel Investment | June 10, 2026 | Confidential</t>
        </is>
      </c>
    </row>
  </sheetData>
  <mergeCells count="15">
    <mergeCell ref="A1:H1"/>
    <mergeCell ref="A18:H18"/>
    <mergeCell ref="A3:H3"/>
    <mergeCell ref="A21:H21"/>
    <mergeCell ref="A26:H26"/>
    <mergeCell ref="A25:H25"/>
    <mergeCell ref="A20:H20"/>
    <mergeCell ref="A2:H2"/>
    <mergeCell ref="A28:H28"/>
    <mergeCell ref="A19:H19"/>
    <mergeCell ref="A12:F12"/>
    <mergeCell ref="A5:H5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 xml:space="preserve">  LAUNCH MARKET &amp; COMPETITION</t>
        </is>
      </c>
    </row>
    <row r="3" ht="22" customHeight="1">
      <c r="A3" s="4" t="inlineStr">
        <is>
          <t xml:space="preserve">  SPACE LAUNCH TAM</t>
        </is>
      </c>
    </row>
    <row r="4">
      <c r="A4" s="19" t="inlineStr">
        <is>
          <t>Year</t>
        </is>
      </c>
      <c r="B4" s="19" t="inlineStr">
        <is>
          <t>Launch TAM ($B)</t>
        </is>
      </c>
      <c r="C4" s="19" t="inlineStr">
        <is>
          <t>Small Launch TAM ($B)</t>
        </is>
      </c>
      <c r="D4" s="19" t="inlineStr">
        <is>
          <t>RKLB Launches</t>
        </is>
      </c>
      <c r="E4" s="19" t="inlineStr">
        <is>
          <t>RKLB Revenue ($M)</t>
        </is>
      </c>
      <c r="F4" s="19" t="inlineStr">
        <is>
          <t>Notes</t>
        </is>
      </c>
    </row>
    <row r="5">
      <c r="A5" s="6" t="inlineStr">
        <is>
          <t>2022</t>
        </is>
      </c>
      <c r="B5" s="6" t="inlineStr">
        <is>
          <t>15</t>
        </is>
      </c>
      <c r="C5" s="6" t="inlineStr">
        <is>
          <t>1.5</t>
        </is>
      </c>
      <c r="D5" s="6" t="inlineStr">
        <is>
          <t>9</t>
        </is>
      </c>
      <c r="E5" s="6" t="inlineStr">
        <is>
          <t>211</t>
        </is>
      </c>
      <c r="F5" s="6" t="inlineStr">
        <is>
          <t>SPAC era</t>
        </is>
      </c>
    </row>
    <row r="6">
      <c r="A6" s="7" t="inlineStr">
        <is>
          <t>2023</t>
        </is>
      </c>
      <c r="B6" s="7" t="inlineStr">
        <is>
          <t>18</t>
        </is>
      </c>
      <c r="C6" s="7" t="inlineStr">
        <is>
          <t>2</t>
        </is>
      </c>
      <c r="D6" s="7" t="inlineStr">
        <is>
          <t>13</t>
        </is>
      </c>
      <c r="E6" s="7" t="inlineStr">
        <is>
          <t>245</t>
        </is>
      </c>
      <c r="F6" s="7" t="inlineStr">
        <is>
          <t>Expansion</t>
        </is>
      </c>
    </row>
    <row r="7">
      <c r="A7" s="6" t="inlineStr">
        <is>
          <t>2024</t>
        </is>
      </c>
      <c r="B7" s="6" t="inlineStr">
        <is>
          <t>25</t>
        </is>
      </c>
      <c r="C7" s="6" t="inlineStr">
        <is>
          <t>3</t>
        </is>
      </c>
      <c r="D7" s="6" t="inlineStr">
        <is>
          <t>20</t>
        </is>
      </c>
      <c r="E7" s="6" t="inlineStr">
        <is>
          <t>436</t>
        </is>
      </c>
      <c r="F7" s="6" t="inlineStr">
        <is>
          <t>DoD ramp</t>
        </is>
      </c>
    </row>
    <row r="8">
      <c r="A8" s="7" t="inlineStr">
        <is>
          <t>2025E</t>
        </is>
      </c>
      <c r="B8" s="7" t="inlineStr">
        <is>
          <t>35</t>
        </is>
      </c>
      <c r="C8" s="7" t="inlineStr">
        <is>
          <t>5</t>
        </is>
      </c>
      <c r="D8" s="7" t="inlineStr">
        <is>
          <t>28</t>
        </is>
      </c>
      <c r="E8" s="7" t="inlineStr">
        <is>
          <t>560</t>
        </is>
      </c>
      <c r="F8" s="7" t="inlineStr">
        <is>
          <t>Neutron dev</t>
        </is>
      </c>
    </row>
    <row r="9">
      <c r="A9" s="6" t="inlineStr">
        <is>
          <t>2026E</t>
        </is>
      </c>
      <c r="B9" s="6" t="inlineStr">
        <is>
          <t>50</t>
        </is>
      </c>
      <c r="C9" s="6" t="inlineStr">
        <is>
          <t>7</t>
        </is>
      </c>
      <c r="D9" s="6" t="inlineStr">
        <is>
          <t>35</t>
        </is>
      </c>
      <c r="E9" s="6" t="inlineStr">
        <is>
          <t>850</t>
        </is>
      </c>
      <c r="F9" s="6" t="inlineStr">
        <is>
          <t>Neutron launch</t>
        </is>
      </c>
    </row>
    <row r="10">
      <c r="A10" s="7" t="inlineStr">
        <is>
          <t>2027E</t>
        </is>
      </c>
      <c r="B10" s="7" t="inlineStr">
        <is>
          <t>70</t>
        </is>
      </c>
      <c r="C10" s="7" t="inlineStr">
        <is>
          <t>10</t>
        </is>
      </c>
      <c r="D10" s="7" t="inlineStr">
        <is>
          <t>45</t>
        </is>
      </c>
      <c r="E10" s="7" t="inlineStr">
        <is>
          <t>1350</t>
        </is>
      </c>
      <c r="F10" s="7" t="inlineStr">
        <is>
          <t>Neutron rev</t>
        </is>
      </c>
    </row>
    <row r="11">
      <c r="A11" s="6" t="inlineStr">
        <is>
          <t>2028E</t>
        </is>
      </c>
      <c r="B11" s="6" t="inlineStr">
        <is>
          <t>95</t>
        </is>
      </c>
      <c r="C11" s="6" t="inlineStr">
        <is>
          <t>14</t>
        </is>
      </c>
      <c r="D11" s="6" t="inlineStr">
        <is>
          <t>55</t>
        </is>
      </c>
      <c r="E11" s="6" t="inlineStr">
        <is>
          <t>1900</t>
        </is>
      </c>
      <c r="F11" s="6" t="inlineStr">
        <is>
          <t>Scale</t>
        </is>
      </c>
    </row>
    <row r="12">
      <c r="A12" s="7" t="inlineStr">
        <is>
          <t>2030E</t>
        </is>
      </c>
      <c r="B12" s="7" t="inlineStr">
        <is>
          <t>150</t>
        </is>
      </c>
      <c r="C12" s="7" t="inlineStr">
        <is>
          <t>25</t>
        </is>
      </c>
      <c r="D12" s="7" t="inlineStr">
        <is>
          <t>80</t>
        </is>
      </c>
      <c r="E12" s="7" t="inlineStr">
        <is>
          <t>2700</t>
        </is>
      </c>
      <c r="F12" s="7" t="inlineStr">
        <is>
          <t>Mature</t>
        </is>
      </c>
    </row>
    <row r="14" ht="22" customHeight="1">
      <c r="A14" s="4" t="inlineStr">
        <is>
          <t xml:space="preserve">  COMPETITOR ANALYSIS</t>
        </is>
      </c>
    </row>
    <row r="15">
      <c r="A15" s="19" t="inlineStr">
        <is>
          <t>Company</t>
        </is>
      </c>
      <c r="B15" s="19" t="inlineStr">
        <is>
          <t>Launch Class</t>
        </is>
      </c>
      <c r="C15" s="19" t="inlineStr">
        <is>
          <t>Reusable</t>
        </is>
      </c>
      <c r="D15" s="19" t="inlineStr">
        <is>
          <t>Price/Launch</t>
        </is>
      </c>
      <c r="E15" s="19" t="inlineStr">
        <is>
          <t>Flights/yr</t>
        </is>
      </c>
      <c r="F15" s="19" t="inlineStr">
        <is>
          <t>Threat Level</t>
        </is>
      </c>
      <c r="G15" s="19" t="inlineStr">
        <is>
          <t>Status</t>
        </is>
      </c>
    </row>
    <row r="16">
      <c r="A16" s="7" t="inlineStr">
        <is>
          <t>SpaceX (Falcon 9)</t>
        </is>
      </c>
      <c r="B16" s="7" t="inlineStr">
        <is>
          <t>Medium-Heavy</t>
        </is>
      </c>
      <c r="C16" s="7" t="inlineStr">
        <is>
          <t>✅ Yes</t>
        </is>
      </c>
      <c r="D16" s="7" t="inlineStr">
        <is>
          <t>$67M</t>
        </is>
      </c>
      <c r="E16" s="7" t="inlineStr">
        <is>
          <t>90+</t>
        </is>
      </c>
      <c r="F16" s="7" t="inlineStr">
        <is>
          <t>Dominant</t>
        </is>
      </c>
      <c r="G16" s="7" t="inlineStr">
        <is>
          <t>Operational</t>
        </is>
      </c>
    </row>
    <row r="17">
      <c r="A17" s="20" t="inlineStr">
        <is>
          <t>Rocket Lab (RKLB)</t>
        </is>
      </c>
      <c r="B17" s="20" t="inlineStr">
        <is>
          <t>Small</t>
        </is>
      </c>
      <c r="C17" s="20" t="inlineStr">
        <is>
          <t>✅ Yes</t>
        </is>
      </c>
      <c r="D17" s="20" t="inlineStr">
        <is>
          <t>$7.5M</t>
        </is>
      </c>
      <c r="E17" s="20" t="inlineStr">
        <is>
          <t>20-28</t>
        </is>
      </c>
      <c r="F17" s="20" t="inlineStr">
        <is>
          <t>RKLB is this</t>
        </is>
      </c>
      <c r="G17" s="20" t="inlineStr">
        <is>
          <t>Operational</t>
        </is>
      </c>
    </row>
    <row r="18">
      <c r="A18" s="7" t="inlineStr">
        <is>
          <t>ULA (Vulcan)</t>
        </is>
      </c>
      <c r="B18" s="7" t="inlineStr">
        <is>
          <t>Heavy</t>
        </is>
      </c>
      <c r="C18" s="7" t="inlineStr">
        <is>
          <t>Partial</t>
        </is>
      </c>
      <c r="D18" s="7" t="inlineStr">
        <is>
          <t>$100M+</t>
        </is>
      </c>
      <c r="E18" s="7" t="inlineStr">
        <is>
          <t>5-8</t>
        </is>
      </c>
      <c r="F18" s="7" t="inlineStr">
        <is>
          <t>Low</t>
        </is>
      </c>
      <c r="G18" s="7" t="inlineStr">
        <is>
          <t>Operational</t>
        </is>
      </c>
    </row>
    <row r="19">
      <c r="A19" s="6" t="inlineStr">
        <is>
          <t>Blue Origin (NG)</t>
        </is>
      </c>
      <c r="B19" s="6" t="inlineStr">
        <is>
          <t>Heavy</t>
        </is>
      </c>
      <c r="C19" s="6" t="inlineStr">
        <is>
          <t>✅ Yes</t>
        </is>
      </c>
      <c r="D19" s="6" t="inlineStr">
        <is>
          <t>~$100M</t>
        </is>
      </c>
      <c r="E19" s="6" t="inlineStr">
        <is>
          <t>~5</t>
        </is>
      </c>
      <c r="F19" s="6" t="inlineStr">
        <is>
          <t>Low</t>
        </is>
      </c>
      <c r="G19" s="6" t="inlineStr">
        <is>
          <t>Operational</t>
        </is>
      </c>
    </row>
    <row r="20">
      <c r="A20" s="7" t="inlineStr">
        <is>
          <t>Arianespace (A6)</t>
        </is>
      </c>
      <c r="B20" s="7" t="inlineStr">
        <is>
          <t>Medium-Heavy</t>
        </is>
      </c>
      <c r="C20" s="7" t="inlineStr">
        <is>
          <t>❌ No</t>
        </is>
      </c>
      <c r="D20" s="7" t="inlineStr">
        <is>
          <t>$75M</t>
        </is>
      </c>
      <c r="E20" s="7" t="inlineStr">
        <is>
          <t>6-8</t>
        </is>
      </c>
      <c r="F20" s="7" t="inlineStr">
        <is>
          <t>Low</t>
        </is>
      </c>
      <c r="G20" s="7" t="inlineStr">
        <is>
          <t>Limited</t>
        </is>
      </c>
    </row>
    <row r="21">
      <c r="A21" s="6" t="inlineStr">
        <is>
          <t>ABL Space</t>
        </is>
      </c>
      <c r="B21" s="6" t="inlineStr">
        <is>
          <t>Small</t>
        </is>
      </c>
      <c r="C21" s="6" t="inlineStr">
        <is>
          <t>❌ No</t>
        </is>
      </c>
      <c r="D21" s="6" t="inlineStr">
        <is>
          <t>~$12M</t>
        </is>
      </c>
      <c r="E21" s="6" t="inlineStr">
        <is>
          <t>0</t>
        </is>
      </c>
      <c r="F21" s="6" t="inlineStr">
        <is>
          <t>Bankrupt</t>
        </is>
      </c>
      <c r="G21" s="6" t="inlineStr">
        <is>
          <t>Ceased</t>
        </is>
      </c>
    </row>
    <row r="23" ht="22" customHeight="1">
      <c r="A23" s="4" t="inlineStr">
        <is>
          <t xml:space="preserve">  MOAT FACTORS</t>
        </is>
      </c>
    </row>
    <row r="24">
      <c r="A24" s="19" t="inlineStr">
        <is>
          <t>Factor</t>
        </is>
      </c>
      <c r="B24" s="19" t="inlineStr">
        <is>
          <t>Rating</t>
        </is>
      </c>
      <c r="C24" s="19" t="inlineStr">
        <is>
          <t>Notes</t>
        </is>
      </c>
    </row>
    <row r="25">
      <c r="A25" s="21" t="inlineStr">
        <is>
          <t>Reusable Small Launch</t>
        </is>
      </c>
      <c r="B25" s="22" t="inlineStr">
        <is>
          <t>★★★★★ (Unique)</t>
        </is>
      </c>
      <c r="C25" s="13" t="inlineStr">
        <is>
          <t>Only reusable sub-300kg launcher globally</t>
        </is>
      </c>
    </row>
    <row r="26">
      <c r="A26" s="23" t="inlineStr">
        <is>
          <t>Vertical Integration</t>
        </is>
      </c>
      <c r="B26" s="8" t="inlineStr">
        <is>
          <t>★★★★</t>
        </is>
      </c>
      <c r="C26" s="10" t="inlineStr">
        <is>
          <t>Photon bus + launch + components = full stack</t>
        </is>
      </c>
    </row>
    <row r="27">
      <c r="A27" s="21" t="inlineStr">
        <is>
          <t>Neutron Differentiation</t>
        </is>
      </c>
      <c r="B27" s="22" t="inlineStr">
        <is>
          <t>★★★★ (Potential)</t>
        </is>
      </c>
      <c r="C27" s="13" t="inlineStr">
        <is>
          <t>Medium-lift gap between RKLB &amp; SpaceX</t>
        </is>
      </c>
    </row>
    <row r="28">
      <c r="A28" s="23" t="inlineStr">
        <is>
          <t>DoD Relationships</t>
        </is>
      </c>
      <c r="B28" s="8" t="inlineStr">
        <is>
          <t>★★★★</t>
        </is>
      </c>
      <c r="C28" s="10" t="inlineStr">
        <is>
          <t>NSSL Phase 2 certification pathway</t>
        </is>
      </c>
    </row>
    <row r="29">
      <c r="A29" s="21" t="inlineStr">
        <is>
          <t>Electron Production</t>
        </is>
      </c>
      <c r="B29" s="22" t="inlineStr">
        <is>
          <t>★★★</t>
        </is>
      </c>
      <c r="C29" s="13" t="inlineStr">
        <is>
          <t>Building to 24+/yr cadence by 2026</t>
        </is>
      </c>
    </row>
    <row r="34">
      <c r="A34" s="18" t="inlineStr">
        <is>
          <t>Rocket Lab USA (RKLB) | Equity Research | Sentinel Investment | June 10, 2026 | Confidential</t>
        </is>
      </c>
    </row>
  </sheetData>
  <mergeCells count="4">
    <mergeCell ref="A3:F3"/>
    <mergeCell ref="A14:G14"/>
    <mergeCell ref="A23:E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8A"/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 xml:space="preserve">  FINANCIALS &amp; EARNINGS</t>
        </is>
      </c>
    </row>
    <row r="3" ht="22" customHeight="1">
      <c r="A3" s="4" t="inlineStr">
        <is>
          <t xml:space="preserve">  INCOME STATEMENT (USD Millions)</t>
        </is>
      </c>
    </row>
    <row r="4">
      <c r="A4" s="19" t="inlineStr">
        <is>
          <t>Metric</t>
        </is>
      </c>
      <c r="B4" s="19" t="inlineStr">
        <is>
          <t>FY2022A</t>
        </is>
      </c>
      <c r="C4" s="19" t="inlineStr">
        <is>
          <t>FY2023A</t>
        </is>
      </c>
      <c r="D4" s="19" t="inlineStr">
        <is>
          <t>FY2024A</t>
        </is>
      </c>
      <c r="E4" s="19" t="inlineStr">
        <is>
          <t>Q1 2025A</t>
        </is>
      </c>
      <c r="F4" s="19" t="inlineStr">
        <is>
          <t>FY2025E</t>
        </is>
      </c>
      <c r="G4" s="19" t="inlineStr">
        <is>
          <t>FY2026E</t>
        </is>
      </c>
    </row>
    <row r="5">
      <c r="A5" s="21" t="inlineStr">
        <is>
          <t>Revenue</t>
        </is>
      </c>
      <c r="B5" s="24" t="n">
        <v>211</v>
      </c>
      <c r="C5" s="24" t="n">
        <v>245</v>
      </c>
      <c r="D5" s="24" t="n">
        <v>436</v>
      </c>
      <c r="E5" s="24" t="n">
        <v>123</v>
      </c>
      <c r="F5" s="24" t="n">
        <v>560</v>
      </c>
      <c r="G5" s="24" t="n">
        <v>850</v>
      </c>
    </row>
    <row r="6">
      <c r="A6" s="23" t="inlineStr">
        <is>
          <t>Gross Profit</t>
        </is>
      </c>
      <c r="B6" s="25" t="n">
        <v>35</v>
      </c>
      <c r="C6" s="25" t="n">
        <v>49</v>
      </c>
      <c r="D6" s="25" t="n">
        <v>113</v>
      </c>
      <c r="E6" s="25" t="n">
        <v>34</v>
      </c>
      <c r="F6" s="25" t="n">
        <v>162</v>
      </c>
      <c r="G6" s="25" t="n">
        <v>289</v>
      </c>
    </row>
    <row r="7">
      <c r="A7" s="13" t="inlineStr">
        <is>
          <t>Gross Margin</t>
        </is>
      </c>
      <c r="B7" s="6" t="inlineStr">
        <is>
          <t>17.0%</t>
        </is>
      </c>
      <c r="C7" s="6" t="inlineStr">
        <is>
          <t>20.0%</t>
        </is>
      </c>
      <c r="D7" s="6" t="inlineStr">
        <is>
          <t>26.0%</t>
        </is>
      </c>
      <c r="E7" s="6" t="inlineStr">
        <is>
          <t>28.0%</t>
        </is>
      </c>
      <c r="F7" s="6" t="inlineStr">
        <is>
          <t>29.0%</t>
        </is>
      </c>
      <c r="G7" s="6" t="inlineStr">
        <is>
          <t>34.0%</t>
        </is>
      </c>
    </row>
    <row r="8">
      <c r="A8" s="10" t="inlineStr">
        <is>
          <t>R&amp;D (approx)</t>
        </is>
      </c>
      <c r="B8" s="14" t="n">
        <v>-42</v>
      </c>
      <c r="C8" s="14" t="n">
        <v>-49</v>
      </c>
      <c r="D8" s="14" t="n">
        <v>-87</v>
      </c>
      <c r="E8" s="14" t="n">
        <v>-24</v>
      </c>
      <c r="F8" s="14" t="n">
        <v>-112</v>
      </c>
      <c r="G8" s="14" t="n">
        <v>-170</v>
      </c>
    </row>
    <row r="9">
      <c r="A9" s="21" t="inlineStr">
        <is>
          <t>EBITDA</t>
        </is>
      </c>
      <c r="B9" s="26" t="n">
        <v>-80</v>
      </c>
      <c r="C9" s="26" t="n">
        <v>-100</v>
      </c>
      <c r="D9" s="26" t="n">
        <v>-80</v>
      </c>
      <c r="E9" s="26" t="n">
        <v>-20</v>
      </c>
      <c r="F9" s="26" t="n">
        <v>-30</v>
      </c>
      <c r="G9" s="24" t="n">
        <v>55</v>
      </c>
    </row>
    <row r="10">
      <c r="A10" s="23" t="inlineStr">
        <is>
          <t>Net Income</t>
        </is>
      </c>
      <c r="B10" s="27" t="n">
        <v>-137</v>
      </c>
      <c r="C10" s="27" t="n">
        <v>-181</v>
      </c>
      <c r="D10" s="27" t="n">
        <v>-213</v>
      </c>
      <c r="E10" s="27" t="n">
        <v>-52</v>
      </c>
      <c r="F10" s="27" t="n">
        <v>-195</v>
      </c>
      <c r="G10" s="27" t="n">
        <v>-125</v>
      </c>
    </row>
    <row r="11">
      <c r="A11" s="13" t="inlineStr">
        <is>
          <t>EPS (diluted)</t>
        </is>
      </c>
      <c r="B11" s="6" t="inlineStr">
        <is>
          <t>$(0.27)</t>
        </is>
      </c>
      <c r="C11" s="6" t="inlineStr">
        <is>
          <t>$(0.36)</t>
        </is>
      </c>
      <c r="D11" s="6" t="inlineStr">
        <is>
          <t>$(0.42)</t>
        </is>
      </c>
      <c r="E11" s="6" t="inlineStr">
        <is>
          <t>$(0.10)</t>
        </is>
      </c>
      <c r="F11" s="6" t="inlineStr">
        <is>
          <t>$(0.39)</t>
        </is>
      </c>
      <c r="G11" s="6" t="inlineStr">
        <is>
          <t>$(0.25)</t>
        </is>
      </c>
    </row>
    <row r="13" ht="22" customHeight="1">
      <c r="A13" s="4" t="inlineStr">
        <is>
          <t xml:space="preserve">  QUARTERLY EARNINGS</t>
        </is>
      </c>
    </row>
    <row r="14">
      <c r="A14" s="19" t="inlineStr">
        <is>
          <t>Quarter</t>
        </is>
      </c>
      <c r="B14" s="19" t="inlineStr">
        <is>
          <t>Revenue</t>
        </is>
      </c>
      <c r="C14" s="19" t="inlineStr">
        <is>
          <t>Consensus</t>
        </is>
      </c>
      <c r="D14" s="19" t="inlineStr">
        <is>
          <t>Beat</t>
        </is>
      </c>
      <c r="E14" s="19" t="inlineStr">
        <is>
          <t>EPS</t>
        </is>
      </c>
      <c r="F14" s="19" t="inlineStr">
        <is>
          <t>Consensus</t>
        </is>
      </c>
      <c r="G14" s="19" t="inlineStr">
        <is>
          <t>Note</t>
        </is>
      </c>
    </row>
    <row r="15">
      <c r="A15" s="28" t="inlineStr">
        <is>
          <t>Q2 2024</t>
        </is>
      </c>
      <c r="B15" s="6" t="inlineStr">
        <is>
          <t>$102M</t>
        </is>
      </c>
      <c r="C15" s="6" t="inlineStr">
        <is>
          <t>$88M</t>
        </is>
      </c>
      <c r="D15" s="22" t="inlineStr">
        <is>
          <t>+15.9%</t>
        </is>
      </c>
      <c r="E15" s="6" t="inlineStr">
        <is>
          <t>$(0.11)</t>
        </is>
      </c>
      <c r="F15" s="6" t="inlineStr">
        <is>
          <t>$(0.13)</t>
        </is>
      </c>
      <c r="G15" s="6" t="inlineStr">
        <is>
          <t>Space systems +43%</t>
        </is>
      </c>
    </row>
    <row r="16">
      <c r="A16" s="29" t="inlineStr">
        <is>
          <t>Q3 2024</t>
        </is>
      </c>
      <c r="B16" s="7" t="inlineStr">
        <is>
          <t>$104M</t>
        </is>
      </c>
      <c r="C16" s="7" t="inlineStr">
        <is>
          <t>$95M</t>
        </is>
      </c>
      <c r="D16" s="8" t="inlineStr">
        <is>
          <t>+9.5%</t>
        </is>
      </c>
      <c r="E16" s="7" t="inlineStr">
        <is>
          <t>$(0.11)</t>
        </is>
      </c>
      <c r="F16" s="7" t="inlineStr">
        <is>
          <t>$(0.10)</t>
        </is>
      </c>
      <c r="G16" s="7" t="inlineStr">
        <is>
          <t>Record launch quarter</t>
        </is>
      </c>
    </row>
    <row r="17">
      <c r="A17" s="28" t="inlineStr">
        <is>
          <t>Q4 2024</t>
        </is>
      </c>
      <c r="B17" s="6" t="inlineStr">
        <is>
          <t>$134M</t>
        </is>
      </c>
      <c r="C17" s="6" t="inlineStr">
        <is>
          <t>$118M</t>
        </is>
      </c>
      <c r="D17" s="22" t="inlineStr">
        <is>
          <t>+13.6%</t>
        </is>
      </c>
      <c r="E17" s="6" t="inlineStr">
        <is>
          <t>$(0.10)</t>
        </is>
      </c>
      <c r="F17" s="6" t="inlineStr">
        <is>
          <t>$(0.11)</t>
        </is>
      </c>
      <c r="G17" s="6" t="inlineStr">
        <is>
          <t>Full-year beat</t>
        </is>
      </c>
    </row>
    <row r="18">
      <c r="A18" s="29" t="inlineStr">
        <is>
          <t>Q1 2025</t>
        </is>
      </c>
      <c r="B18" s="7" t="inlineStr">
        <is>
          <t>$123M</t>
        </is>
      </c>
      <c r="C18" s="7" t="inlineStr">
        <is>
          <t>$110M</t>
        </is>
      </c>
      <c r="D18" s="8" t="inlineStr">
        <is>
          <t>+11.8%</t>
        </is>
      </c>
      <c r="E18" s="7" t="inlineStr">
        <is>
          <t>$(0.10)</t>
        </is>
      </c>
      <c r="F18" s="7" t="inlineStr">
        <is>
          <t>$(0.09)</t>
        </is>
      </c>
      <c r="G18" s="7" t="inlineStr">
        <is>
          <t>Neutron milestone</t>
        </is>
      </c>
    </row>
    <row r="20" ht="22" customHeight="1">
      <c r="A20" s="4" t="inlineStr">
        <is>
          <t xml:space="preserve">  KEY METRICS</t>
        </is>
      </c>
    </row>
    <row r="21">
      <c r="A21" s="19" t="inlineStr">
        <is>
          <t>Metric</t>
        </is>
      </c>
      <c r="B21" s="19" t="inlineStr">
        <is>
          <t>FY2022A</t>
        </is>
      </c>
      <c r="C21" s="19" t="inlineStr">
        <is>
          <t>FY2023A</t>
        </is>
      </c>
      <c r="D21" s="19" t="inlineStr">
        <is>
          <t>FY2024A</t>
        </is>
      </c>
      <c r="E21" s="19" t="inlineStr">
        <is>
          <t>FY2025E</t>
        </is>
      </c>
      <c r="F21" s="19" t="inlineStr">
        <is>
          <t>FY2026E</t>
        </is>
      </c>
      <c r="G21" s="19" t="inlineStr">
        <is>
          <t>FY2027E</t>
        </is>
      </c>
    </row>
    <row r="22">
      <c r="A22" s="23" t="inlineStr">
        <is>
          <t>Launches</t>
        </is>
      </c>
      <c r="B22" s="7" t="inlineStr">
        <is>
          <t>9</t>
        </is>
      </c>
      <c r="C22" s="7" t="inlineStr">
        <is>
          <t>13</t>
        </is>
      </c>
      <c r="D22" s="7" t="inlineStr">
        <is>
          <t>20</t>
        </is>
      </c>
      <c r="E22" s="7" t="inlineStr">
        <is>
          <t>28</t>
        </is>
      </c>
      <c r="F22" s="7" t="inlineStr">
        <is>
          <t>35</t>
        </is>
      </c>
      <c r="G22" s="7" t="inlineStr">
        <is>
          <t>45</t>
        </is>
      </c>
    </row>
    <row r="23">
      <c r="A23" s="21" t="inlineStr">
        <is>
          <t>Revenue/Launch ($M)</t>
        </is>
      </c>
      <c r="B23" s="6" t="inlineStr">
        <is>
          <t>23.4</t>
        </is>
      </c>
      <c r="C23" s="6" t="inlineStr">
        <is>
          <t>18.8</t>
        </is>
      </c>
      <c r="D23" s="6" t="inlineStr">
        <is>
          <t>21.8</t>
        </is>
      </c>
      <c r="E23" s="6" t="inlineStr">
        <is>
          <t>20.0</t>
        </is>
      </c>
      <c r="F23" s="6" t="inlineStr">
        <is>
          <t>24.3</t>
        </is>
      </c>
      <c r="G23" s="6" t="inlineStr">
        <is>
          <t>30.0</t>
        </is>
      </c>
    </row>
    <row r="24">
      <c r="A24" s="23" t="inlineStr">
        <is>
          <t>Space Systems Rev ($M)</t>
        </is>
      </c>
      <c r="B24" s="7" t="inlineStr">
        <is>
          <t>74</t>
        </is>
      </c>
      <c r="C24" s="7" t="inlineStr">
        <is>
          <t>102</t>
        </is>
      </c>
      <c r="D24" s="7" t="inlineStr">
        <is>
          <t>200</t>
        </is>
      </c>
      <c r="E24" s="7" t="inlineStr">
        <is>
          <t>280</t>
        </is>
      </c>
      <c r="F24" s="7" t="inlineStr">
        <is>
          <t>400</t>
        </is>
      </c>
      <c r="G24" s="7" t="inlineStr">
        <is>
          <t>620</t>
        </is>
      </c>
    </row>
    <row r="25">
      <c r="A25" s="21" t="inlineStr">
        <is>
          <t>Cash ($M)</t>
        </is>
      </c>
      <c r="B25" s="6" t="inlineStr">
        <is>
          <t>570</t>
        </is>
      </c>
      <c r="C25" s="6" t="inlineStr">
        <is>
          <t>490</t>
        </is>
      </c>
      <c r="D25" s="6" t="inlineStr">
        <is>
          <t>500</t>
        </is>
      </c>
      <c r="E25" s="6" t="inlineStr">
        <is>
          <t>450</t>
        </is>
      </c>
      <c r="F25" s="6" t="inlineStr">
        <is>
          <t>380</t>
        </is>
      </c>
      <c r="G25" s="6" t="inlineStr">
        <is>
          <t>550</t>
        </is>
      </c>
    </row>
    <row r="26">
      <c r="A26" s="23" t="inlineStr">
        <is>
          <t>Net Debt/(Cash) ($M)</t>
        </is>
      </c>
      <c r="B26" s="7" t="inlineStr">
        <is>
          <t>-300</t>
        </is>
      </c>
      <c r="C26" s="7" t="inlineStr">
        <is>
          <t>-250</t>
        </is>
      </c>
      <c r="D26" s="7" t="inlineStr">
        <is>
          <t>-300</t>
        </is>
      </c>
      <c r="E26" s="7" t="inlineStr">
        <is>
          <t>-200</t>
        </is>
      </c>
      <c r="F26" s="7" t="inlineStr">
        <is>
          <t>-100</t>
        </is>
      </c>
      <c r="G26" s="7" t="inlineStr">
        <is>
          <t>FCF+</t>
        </is>
      </c>
    </row>
    <row r="32">
      <c r="A32" s="18" t="inlineStr">
        <is>
          <t>Rocket Lab USA (RKLB) | Equity Research | Sentinel Investment | June 10, 2026 | Confidential</t>
        </is>
      </c>
    </row>
  </sheetData>
  <mergeCells count="4">
    <mergeCell ref="A20:G20"/>
    <mergeCell ref="A13:G13"/>
    <mergeCell ref="A3:G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B84B"/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30" customWidth="1" min="5" max="5"/>
  </cols>
  <sheetData>
    <row r="1" ht="30" customHeight="1">
      <c r="A1" s="1" t="inlineStr">
        <is>
          <t xml:space="preserve">  THESIS, CATALYSTS &amp; RISKS</t>
        </is>
      </c>
    </row>
    <row r="3" ht="22" customHeight="1">
      <c r="A3" s="4" t="inlineStr">
        <is>
          <t xml:space="preserve">  SCENARIOS</t>
        </is>
      </c>
    </row>
    <row r="4">
      <c r="A4" s="19" t="inlineStr"/>
      <c r="B4" s="30" t="inlineStr">
        <is>
          <t>BULL (25%)</t>
        </is>
      </c>
      <c r="C4" s="5" t="inlineStr">
        <is>
          <t>BASE (55%)</t>
        </is>
      </c>
      <c r="D4" s="31" t="inlineStr">
        <is>
          <t>BEAR (20%)</t>
        </is>
      </c>
    </row>
    <row r="5">
      <c r="A5" s="21" t="inlineStr">
        <is>
          <t>2026E Revenue</t>
        </is>
      </c>
      <c r="B5" s="22" t="inlineStr">
        <is>
          <t>$1,050M</t>
        </is>
      </c>
      <c r="C5" s="11" t="inlineStr">
        <is>
          <t>$850M</t>
        </is>
      </c>
      <c r="D5" s="32" t="inlineStr">
        <is>
          <t>$550M</t>
        </is>
      </c>
    </row>
    <row r="6">
      <c r="A6" s="23" t="inlineStr">
        <is>
          <t>Gross Margin</t>
        </is>
      </c>
      <c r="B6" s="8" t="inlineStr">
        <is>
          <t>40%</t>
        </is>
      </c>
      <c r="C6" s="33" t="inlineStr">
        <is>
          <t>34%</t>
        </is>
      </c>
      <c r="D6" s="14" t="inlineStr">
        <is>
          <t>22%</t>
        </is>
      </c>
    </row>
    <row r="7">
      <c r="A7" s="21" t="inlineStr">
        <is>
          <t>Price Target</t>
        </is>
      </c>
      <c r="B7" s="22" t="inlineStr">
        <is>
          <t>$180</t>
        </is>
      </c>
      <c r="C7" s="11" t="inlineStr">
        <is>
          <t>$130</t>
        </is>
      </c>
      <c r="D7" s="32" t="inlineStr">
        <is>
          <t>$60</t>
        </is>
      </c>
    </row>
    <row r="8">
      <c r="A8" s="23" t="inlineStr">
        <is>
          <t>Key Factor</t>
        </is>
      </c>
      <c r="B8" s="8" t="inlineStr">
        <is>
          <t>Neutron launch + DoD</t>
        </is>
      </c>
      <c r="C8" s="33" t="inlineStr">
        <is>
          <t>Steady Electron + Neutron dev</t>
        </is>
      </c>
      <c r="D8" s="14" t="inlineStr">
        <is>
          <t>Neutron delay 2yr</t>
        </is>
      </c>
    </row>
    <row r="10" ht="22" customHeight="1">
      <c r="A10" s="4" t="inlineStr">
        <is>
          <t xml:space="preserve">  12-MONTH CATALYST TIMELINE</t>
        </is>
      </c>
    </row>
    <row r="11">
      <c r="A11" s="19" t="inlineStr">
        <is>
          <t>Date</t>
        </is>
      </c>
      <c r="B11" s="19" t="inlineStr">
        <is>
          <t>Catalyst</t>
        </is>
      </c>
      <c r="C11" s="19" t="inlineStr">
        <is>
          <t>Impact</t>
        </is>
      </c>
      <c r="D11" s="19" t="inlineStr">
        <is>
          <t>Prob</t>
        </is>
      </c>
      <c r="E11" s="19" t="inlineStr">
        <is>
          <t>Signal</t>
        </is>
      </c>
    </row>
    <row r="12">
      <c r="A12" s="29" t="inlineStr">
        <is>
          <t>Q3 2025 (Aug)</t>
        </is>
      </c>
      <c r="B12" s="10" t="inlineStr">
        <is>
          <t>Neutron development update</t>
        </is>
      </c>
      <c r="C12" s="7" t="inlineStr">
        <is>
          <t>+10-20%</t>
        </is>
      </c>
      <c r="D12" s="7" t="inlineStr">
        <is>
          <t>High</t>
        </is>
      </c>
      <c r="E12" s="9" t="inlineStr">
        <is>
          <t>Bullish</t>
        </is>
      </c>
    </row>
    <row r="13">
      <c r="A13" s="28" t="inlineStr">
        <is>
          <t>Sep 2025</t>
        </is>
      </c>
      <c r="B13" s="13" t="inlineStr">
        <is>
          <t>NASA ESCAPADE launch window</t>
        </is>
      </c>
      <c r="C13" s="6" t="inlineStr">
        <is>
          <t>+8-15%</t>
        </is>
      </c>
      <c r="D13" s="6" t="inlineStr">
        <is>
          <t>High</t>
        </is>
      </c>
      <c r="E13" s="12" t="inlineStr">
        <is>
          <t>Bullish</t>
        </is>
      </c>
    </row>
    <row r="14">
      <c r="A14" s="29" t="inlineStr">
        <is>
          <t>Q4 2025 (Nov)</t>
        </is>
      </c>
      <c r="B14" s="10" t="inlineStr">
        <is>
          <t>Earnings + Neutron milestone</t>
        </is>
      </c>
      <c r="C14" s="7" t="inlineStr">
        <is>
          <t>±12%</t>
        </is>
      </c>
      <c r="D14" s="7" t="inlineStr">
        <is>
          <t>High</t>
        </is>
      </c>
      <c r="E14" s="34" t="inlineStr">
        <is>
          <t>Watch</t>
        </is>
      </c>
    </row>
    <row r="15">
      <c r="A15" s="28" t="inlineStr">
        <is>
          <t>Q1 2026 (Feb)</t>
        </is>
      </c>
      <c r="B15" s="13" t="inlineStr">
        <is>
          <t>FY2026 guidance + Neutron timeline</t>
        </is>
      </c>
      <c r="C15" s="6" t="inlineStr">
        <is>
          <t>±15%</t>
        </is>
      </c>
      <c r="D15" s="6" t="inlineStr">
        <is>
          <t>High</t>
        </is>
      </c>
      <c r="E15" s="35" t="inlineStr">
        <is>
          <t>Key date</t>
        </is>
      </c>
    </row>
    <row r="16">
      <c r="A16" s="29" t="inlineStr">
        <is>
          <t>H1 2026</t>
        </is>
      </c>
      <c r="B16" s="10" t="inlineStr">
        <is>
          <t>Neutron first launch attempt</t>
        </is>
      </c>
      <c r="C16" s="7" t="inlineStr">
        <is>
          <t>+25-50%</t>
        </is>
      </c>
      <c r="D16" s="7" t="inlineStr">
        <is>
          <t>Med</t>
        </is>
      </c>
      <c r="E16" s="34" t="inlineStr">
        <is>
          <t>Binary</t>
        </is>
      </c>
    </row>
    <row r="17">
      <c r="A17" s="28" t="inlineStr">
        <is>
          <t>Ongoing</t>
        </is>
      </c>
      <c r="B17" s="13" t="inlineStr">
        <is>
          <t>DoD/NRO contract awards</t>
        </is>
      </c>
      <c r="C17" s="6" t="inlineStr">
        <is>
          <t>+5-15%</t>
        </is>
      </c>
      <c r="D17" s="6" t="inlineStr">
        <is>
          <t>Med-High</t>
        </is>
      </c>
      <c r="E17" s="12" t="inlineStr">
        <is>
          <t>Bullish</t>
        </is>
      </c>
    </row>
    <row r="19" ht="22" customHeight="1">
      <c r="A19" s="4" t="inlineStr">
        <is>
          <t xml:space="preserve">  RISK MATRIX</t>
        </is>
      </c>
    </row>
    <row r="20">
      <c r="A20" s="19" t="inlineStr">
        <is>
          <t>Risk</t>
        </is>
      </c>
      <c r="B20" s="19" t="inlineStr">
        <is>
          <t>Severity</t>
        </is>
      </c>
      <c r="C20" s="19" t="inlineStr">
        <is>
          <t>Probability</t>
        </is>
      </c>
      <c r="D20" s="19" t="inlineStr">
        <is>
          <t>Score</t>
        </is>
      </c>
      <c r="E20" s="19" t="inlineStr">
        <is>
          <t>Mitigation</t>
        </is>
      </c>
    </row>
    <row r="21">
      <c r="A21" s="21" t="inlineStr">
        <is>
          <t>Neutron development delay</t>
        </is>
      </c>
      <c r="B21" s="32" t="inlineStr">
        <is>
          <t>Critical</t>
        </is>
      </c>
      <c r="C21" s="6" t="inlineStr">
        <is>
          <t>High</t>
        </is>
      </c>
      <c r="D21" s="13" t="inlineStr">
        <is>
          <t>9/10</t>
        </is>
      </c>
      <c r="E21" s="13" t="inlineStr">
        <is>
          <t>Monitor milestone updates quarterly</t>
        </is>
      </c>
    </row>
    <row r="22">
      <c r="A22" s="23" t="inlineStr">
        <is>
          <t>SpaceX price aggression</t>
        </is>
      </c>
      <c r="B22" s="36" t="inlineStr">
        <is>
          <t>High</t>
        </is>
      </c>
      <c r="C22" s="7" t="inlineStr">
        <is>
          <t>High</t>
        </is>
      </c>
      <c r="D22" s="10" t="inlineStr">
        <is>
          <t>8/10</t>
        </is>
      </c>
      <c r="E22" s="10" t="inlineStr">
        <is>
          <t>Serve segments SpaceX ignores (&lt;300kg)</t>
        </is>
      </c>
    </row>
    <row r="23">
      <c r="A23" s="21" t="inlineStr">
        <is>
          <t>Launch vehicle failure</t>
        </is>
      </c>
      <c r="B23" s="37" t="inlineStr">
        <is>
          <t>High</t>
        </is>
      </c>
      <c r="C23" s="6" t="inlineStr">
        <is>
          <t>Medium</t>
        </is>
      </c>
      <c r="D23" s="13" t="inlineStr">
        <is>
          <t>7/10</t>
        </is>
      </c>
      <c r="E23" s="13" t="inlineStr">
        <is>
          <t>Insurance + diversified backlog</t>
        </is>
      </c>
    </row>
    <row r="24">
      <c r="A24" s="23" t="inlineStr">
        <is>
          <t>Valuation (100x+ rev)</t>
        </is>
      </c>
      <c r="B24" s="38" t="inlineStr">
        <is>
          <t>Medium</t>
        </is>
      </c>
      <c r="C24" s="7" t="inlineStr">
        <is>
          <t>High</t>
        </is>
      </c>
      <c r="D24" s="10" t="inlineStr">
        <is>
          <t>7/10</t>
        </is>
      </c>
      <c r="E24" s="10" t="inlineStr">
        <is>
          <t>Growth must sustain &gt;30% for 3 yrs</t>
        </is>
      </c>
    </row>
    <row r="25">
      <c r="A25" s="21" t="inlineStr">
        <is>
          <t>Competition (ABL, Astra)</t>
        </is>
      </c>
      <c r="B25" s="39" t="inlineStr">
        <is>
          <t>Medium</t>
        </is>
      </c>
      <c r="C25" s="6" t="inlineStr">
        <is>
          <t>Low</t>
        </is>
      </c>
      <c r="D25" s="13" t="inlineStr">
        <is>
          <t>4/10</t>
        </is>
      </c>
      <c r="E25" s="13" t="inlineStr">
        <is>
          <t>Both failed — confirms moat</t>
        </is>
      </c>
    </row>
    <row r="30">
      <c r="A30" s="18" t="inlineStr">
        <is>
          <t>Rocket Lab USA (RKLB) | Equity Research | Sentinel Investment | June 10, 2026 | Confidential</t>
        </is>
      </c>
    </row>
  </sheetData>
  <mergeCells count="4">
    <mergeCell ref="A19:E19"/>
    <mergeCell ref="A3:E3"/>
    <mergeCell ref="A10:E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F8A"/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 xml:space="preserve">  3-STATEMENT MODEL (USD Millions)</t>
        </is>
      </c>
    </row>
    <row r="3" ht="22" customHeight="1">
      <c r="A3" s="4" t="inlineStr">
        <is>
          <t xml:space="preserve">  ASSUMPTIONS</t>
        </is>
      </c>
    </row>
    <row r="4">
      <c r="A4" s="19" t="inlineStr">
        <is>
          <t>Assumption</t>
        </is>
      </c>
      <c r="B4" s="19" t="inlineStr">
        <is>
          <t>2025E</t>
        </is>
      </c>
      <c r="C4" s="19" t="inlineStr">
        <is>
          <t>2026E</t>
        </is>
      </c>
      <c r="D4" s="19" t="inlineStr">
        <is>
          <t>2027E</t>
        </is>
      </c>
      <c r="E4" s="19" t="inlineStr">
        <is>
          <t>2028E</t>
        </is>
      </c>
      <c r="F4" s="19" t="inlineStr">
        <is>
          <t>2029E</t>
        </is>
      </c>
      <c r="G4" s="19" t="inlineStr">
        <is>
          <t>Notes</t>
        </is>
      </c>
    </row>
    <row r="5">
      <c r="A5" s="21" t="inlineStr">
        <is>
          <t>Revenue Growth</t>
        </is>
      </c>
      <c r="B5" s="40" t="inlineStr">
        <is>
          <t>28%</t>
        </is>
      </c>
      <c r="C5" s="40" t="inlineStr">
        <is>
          <t>52%</t>
        </is>
      </c>
      <c r="D5" s="40" t="inlineStr">
        <is>
          <t>59%</t>
        </is>
      </c>
      <c r="E5" s="40" t="inlineStr">
        <is>
          <t>41%</t>
        </is>
      </c>
      <c r="F5" s="40" t="inlineStr">
        <is>
          <t>32%</t>
        </is>
      </c>
      <c r="G5" s="40" t="inlineStr">
        <is>
          <t>Electron+Neutron ramp</t>
        </is>
      </c>
    </row>
    <row r="6">
      <c r="A6" s="23" t="inlineStr">
        <is>
          <t>Gross Margin</t>
        </is>
      </c>
      <c r="B6" s="41" t="inlineStr">
        <is>
          <t>29%</t>
        </is>
      </c>
      <c r="C6" s="41" t="inlineStr">
        <is>
          <t>34%</t>
        </is>
      </c>
      <c r="D6" s="41" t="inlineStr">
        <is>
          <t>40%</t>
        </is>
      </c>
      <c r="E6" s="41" t="inlineStr">
        <is>
          <t>44%</t>
        </is>
      </c>
      <c r="F6" s="41" t="inlineStr">
        <is>
          <t>47%</t>
        </is>
      </c>
      <c r="G6" s="41" t="inlineStr">
        <is>
          <t>Scale + mix</t>
        </is>
      </c>
    </row>
    <row r="7">
      <c r="A7" s="21" t="inlineStr">
        <is>
          <t>R&amp;D % Rev</t>
        </is>
      </c>
      <c r="B7" s="40" t="inlineStr">
        <is>
          <t>20%</t>
        </is>
      </c>
      <c r="C7" s="40" t="inlineStr">
        <is>
          <t>18%</t>
        </is>
      </c>
      <c r="D7" s="40" t="inlineStr">
        <is>
          <t>15%</t>
        </is>
      </c>
      <c r="E7" s="40" t="inlineStr">
        <is>
          <t>13%</t>
        </is>
      </c>
      <c r="F7" s="40" t="inlineStr">
        <is>
          <t>11%</t>
        </is>
      </c>
      <c r="G7" s="40" t="inlineStr">
        <is>
          <t>Neutron complete 2026</t>
        </is>
      </c>
    </row>
    <row r="8">
      <c r="A8" s="23" t="inlineStr">
        <is>
          <t>CapEx ($M)</t>
        </is>
      </c>
      <c r="B8" s="41" t="inlineStr">
        <is>
          <t>(200)</t>
        </is>
      </c>
      <c r="C8" s="41" t="inlineStr">
        <is>
          <t>(175)</t>
        </is>
      </c>
      <c r="D8" s="41" t="inlineStr">
        <is>
          <t>(150)</t>
        </is>
      </c>
      <c r="E8" s="41" t="inlineStr">
        <is>
          <t>(130)</t>
        </is>
      </c>
      <c r="F8" s="41" t="inlineStr">
        <is>
          <t>(110)</t>
        </is>
      </c>
      <c r="G8" s="41" t="inlineStr">
        <is>
          <t>Post-Neutron lower</t>
        </is>
      </c>
    </row>
    <row r="9">
      <c r="A9" s="21" t="inlineStr">
        <is>
          <t>Cash (start)</t>
        </is>
      </c>
      <c r="B9" s="40" t="inlineStr">
        <is>
          <t>$500M</t>
        </is>
      </c>
      <c r="C9" s="40" t="inlineStr">
        <is>
          <t>$450M</t>
        </is>
      </c>
      <c r="D9" s="40" t="inlineStr">
        <is>
          <t>$380M</t>
        </is>
      </c>
      <c r="E9" s="40" t="inlineStr">
        <is>
          <t>$430M</t>
        </is>
      </c>
      <c r="F9" s="40" t="inlineStr">
        <is>
          <t>$700M</t>
        </is>
      </c>
      <c r="G9" s="40" t="inlineStr">
        <is>
          <t>Build to positive FCF</t>
        </is>
      </c>
    </row>
    <row r="11" ht="22" customHeight="1">
      <c r="A11" s="4" t="inlineStr">
        <is>
          <t xml:space="preserve">  INCOME STATEMENT</t>
        </is>
      </c>
    </row>
    <row r="12">
      <c r="A12" s="19" t="inlineStr"/>
      <c r="B12" s="19" t="inlineStr">
        <is>
          <t>2024A</t>
        </is>
      </c>
      <c r="C12" s="19" t="inlineStr">
        <is>
          <t>2025E</t>
        </is>
      </c>
      <c r="D12" s="19" t="inlineStr">
        <is>
          <t>2026E</t>
        </is>
      </c>
      <c r="E12" s="19" t="inlineStr">
        <is>
          <t>2027E</t>
        </is>
      </c>
      <c r="F12" s="19" t="inlineStr">
        <is>
          <t>2028E</t>
        </is>
      </c>
      <c r="G12" s="19" t="inlineStr">
        <is>
          <t>2029E</t>
        </is>
      </c>
    </row>
    <row r="13">
      <c r="A13" s="21" t="inlineStr">
        <is>
          <t>Revenue</t>
        </is>
      </c>
      <c r="B13" s="24" t="n">
        <v>436</v>
      </c>
      <c r="C13" s="24" t="n">
        <v>560</v>
      </c>
      <c r="D13" s="24" t="n">
        <v>850</v>
      </c>
      <c r="E13" s="24" t="n">
        <v>1350</v>
      </c>
      <c r="F13" s="24" t="n">
        <v>1900</v>
      </c>
      <c r="G13" s="24" t="n">
        <v>2500</v>
      </c>
    </row>
    <row r="14">
      <c r="A14" s="10" t="inlineStr">
        <is>
          <t>Gross Profit</t>
        </is>
      </c>
      <c r="B14" s="25" t="n">
        <v>113</v>
      </c>
      <c r="C14" s="25" t="n">
        <v>162</v>
      </c>
      <c r="D14" s="25" t="n">
        <v>289</v>
      </c>
      <c r="E14" s="25" t="n">
        <v>540</v>
      </c>
      <c r="F14" s="25" t="n">
        <v>836</v>
      </c>
      <c r="G14" s="25" t="n">
        <v>1175</v>
      </c>
    </row>
    <row r="15">
      <c r="A15" s="13" t="inlineStr">
        <is>
          <t>Gross Margin</t>
        </is>
      </c>
      <c r="B15" s="6" t="inlineStr">
        <is>
          <t>26.0%</t>
        </is>
      </c>
      <c r="C15" s="6" t="inlineStr">
        <is>
          <t>29.0%</t>
        </is>
      </c>
      <c r="D15" s="6" t="inlineStr">
        <is>
          <t>34.0%</t>
        </is>
      </c>
      <c r="E15" s="6" t="inlineStr">
        <is>
          <t>40.0%</t>
        </is>
      </c>
      <c r="F15" s="6" t="inlineStr">
        <is>
          <t>44.0%</t>
        </is>
      </c>
      <c r="G15" s="6" t="inlineStr">
        <is>
          <t>47.0%</t>
        </is>
      </c>
    </row>
    <row r="16">
      <c r="A16" s="23" t="inlineStr">
        <is>
          <t>EBITDA</t>
        </is>
      </c>
      <c r="B16" s="27" t="n">
        <v>-80</v>
      </c>
      <c r="C16" s="27" t="n">
        <v>-30</v>
      </c>
      <c r="D16" s="25" t="n">
        <v>55</v>
      </c>
      <c r="E16" s="25" t="n">
        <v>255</v>
      </c>
      <c r="F16" s="25" t="n">
        <v>495</v>
      </c>
      <c r="G16" s="25" t="n">
        <v>780</v>
      </c>
    </row>
    <row r="17">
      <c r="A17" s="21" t="inlineStr">
        <is>
          <t>Net Income</t>
        </is>
      </c>
      <c r="B17" s="26" t="n">
        <v>-213</v>
      </c>
      <c r="C17" s="26" t="n">
        <v>-195</v>
      </c>
      <c r="D17" s="26" t="n">
        <v>-125</v>
      </c>
      <c r="E17" s="24" t="n">
        <v>50</v>
      </c>
      <c r="F17" s="24" t="n">
        <v>220</v>
      </c>
      <c r="G17" s="24" t="n">
        <v>470</v>
      </c>
    </row>
    <row r="18">
      <c r="A18" s="10" t="inlineStr">
        <is>
          <t>EPS</t>
        </is>
      </c>
      <c r="B18" s="7" t="inlineStr">
        <is>
          <t>$(0.42)</t>
        </is>
      </c>
      <c r="C18" s="7" t="inlineStr">
        <is>
          <t>$(0.39)</t>
        </is>
      </c>
      <c r="D18" s="7" t="inlineStr">
        <is>
          <t>$(0.25)</t>
        </is>
      </c>
      <c r="E18" s="7" t="inlineStr">
        <is>
          <t>$0.10</t>
        </is>
      </c>
      <c r="F18" s="7" t="inlineStr">
        <is>
          <t>$0.44</t>
        </is>
      </c>
      <c r="G18" s="7" t="inlineStr">
        <is>
          <t>$0.93</t>
        </is>
      </c>
    </row>
    <row r="20" ht="22" customHeight="1">
      <c r="A20" s="4" t="inlineStr">
        <is>
          <t xml:space="preserve">  FREE CASH FLOW</t>
        </is>
      </c>
    </row>
    <row r="21">
      <c r="A21" s="19" t="inlineStr"/>
      <c r="B21" s="19" t="inlineStr">
        <is>
          <t>2024A</t>
        </is>
      </c>
      <c r="C21" s="19" t="inlineStr">
        <is>
          <t>2025E</t>
        </is>
      </c>
      <c r="D21" s="19" t="inlineStr">
        <is>
          <t>2026E</t>
        </is>
      </c>
      <c r="E21" s="19" t="inlineStr">
        <is>
          <t>2027E</t>
        </is>
      </c>
      <c r="F21" s="19" t="inlineStr">
        <is>
          <t>2028E</t>
        </is>
      </c>
      <c r="G21" s="19" t="inlineStr">
        <is>
          <t>2029E</t>
        </is>
      </c>
    </row>
    <row r="22">
      <c r="A22" s="10" t="inlineStr">
        <is>
          <t>OCF</t>
        </is>
      </c>
      <c r="B22" s="27" t="n">
        <v>-50</v>
      </c>
      <c r="C22" s="27" t="n">
        <v>-30</v>
      </c>
      <c r="D22" s="25" t="n">
        <v>80</v>
      </c>
      <c r="E22" s="25" t="n">
        <v>230</v>
      </c>
      <c r="F22" s="25" t="n">
        <v>420</v>
      </c>
      <c r="G22" s="25" t="n">
        <v>640</v>
      </c>
    </row>
    <row r="23">
      <c r="A23" s="13" t="inlineStr">
        <is>
          <t>CapEx</t>
        </is>
      </c>
      <c r="B23" s="26" t="n">
        <v>-150</v>
      </c>
      <c r="C23" s="26" t="n">
        <v>-200</v>
      </c>
      <c r="D23" s="26" t="n">
        <v>-175</v>
      </c>
      <c r="E23" s="26" t="n">
        <v>-150</v>
      </c>
      <c r="F23" s="26" t="n">
        <v>-130</v>
      </c>
      <c r="G23" s="26" t="n">
        <v>-110</v>
      </c>
    </row>
    <row r="24">
      <c r="A24" s="23" t="inlineStr">
        <is>
          <t>FCF</t>
        </is>
      </c>
      <c r="B24" s="27" t="n">
        <v>-200</v>
      </c>
      <c r="C24" s="27" t="n">
        <v>-230</v>
      </c>
      <c r="D24" s="27" t="n">
        <v>-95</v>
      </c>
      <c r="E24" s="25" t="n">
        <v>80</v>
      </c>
      <c r="F24" s="25" t="n">
        <v>290</v>
      </c>
      <c r="G24" s="25" t="n">
        <v>530</v>
      </c>
    </row>
    <row r="29">
      <c r="A29" s="18" t="inlineStr">
        <is>
          <t>Rocket Lab USA (RKLB) | Equity Research | Sentinel Investment | June 10, 2026 | Confidential</t>
        </is>
      </c>
    </row>
  </sheetData>
  <mergeCells count="4">
    <mergeCell ref="A20:G20"/>
    <mergeCell ref="A3:G3"/>
    <mergeCell ref="A11:G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B84B"/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0" customHeight="1">
      <c r="A1" s="1" t="inlineStr">
        <is>
          <t xml:space="preserve">  VALUATION &amp; SCENARIOS</t>
        </is>
      </c>
    </row>
    <row r="3" ht="22" customHeight="1">
      <c r="A3" s="4" t="inlineStr">
        <is>
          <t xml:space="preserve">  WACC</t>
        </is>
      </c>
    </row>
    <row r="4">
      <c r="A4" s="19" t="inlineStr">
        <is>
          <t>Input</t>
        </is>
      </c>
      <c r="B4" s="19" t="inlineStr">
        <is>
          <t>Value</t>
        </is>
      </c>
      <c r="C4" s="19" t="inlineStr">
        <is>
          <t>Notes</t>
        </is>
      </c>
    </row>
    <row r="5">
      <c r="A5" s="13" t="inlineStr">
        <is>
          <t>Risk-Free Rate</t>
        </is>
      </c>
      <c r="B5" s="6" t="inlineStr">
        <is>
          <t>4.28%</t>
        </is>
      </c>
    </row>
    <row r="6">
      <c r="A6" s="10" t="inlineStr">
        <is>
          <t>ERP</t>
        </is>
      </c>
      <c r="B6" s="7" t="inlineStr">
        <is>
          <t>5.50%</t>
        </is>
      </c>
    </row>
    <row r="7">
      <c r="A7" s="13" t="inlineStr">
        <is>
          <t>Beta (Levered)</t>
        </is>
      </c>
      <c r="B7" s="6" t="inlineStr">
        <is>
          <t>2.00</t>
        </is>
      </c>
    </row>
    <row r="8">
      <c r="A8" s="10" t="inlineStr">
        <is>
          <t>Cost of Equity</t>
        </is>
      </c>
      <c r="B8" s="7">
        <f>4.28%+2.00×5.50% = 15.3%</f>
        <v/>
      </c>
    </row>
    <row r="9">
      <c r="A9" s="13" t="inlineStr">
        <is>
          <t>After-tax Kd</t>
        </is>
      </c>
      <c r="B9" s="6" t="inlineStr">
        <is>
          <t>4.7%</t>
        </is>
      </c>
    </row>
    <row r="10">
      <c r="A10" s="23" t="inlineStr">
        <is>
          <t>WACC</t>
        </is>
      </c>
      <c r="B10" s="8" t="inlineStr">
        <is>
          <t>~14.8%</t>
        </is>
      </c>
    </row>
    <row r="12" ht="22" customHeight="1">
      <c r="A12" s="4" t="inlineStr">
        <is>
          <t xml:space="preserve">  DCF SUMMARY</t>
        </is>
      </c>
    </row>
    <row r="13">
      <c r="A13" s="19" t="inlineStr">
        <is>
          <t>Item</t>
        </is>
      </c>
      <c r="B13" s="19" t="inlineStr">
        <is>
          <t>Value ($M)</t>
        </is>
      </c>
      <c r="C13" s="19" t="inlineStr">
        <is>
          <t>Notes</t>
        </is>
      </c>
    </row>
    <row r="14">
      <c r="A14" s="10" t="inlineStr">
        <is>
          <t>PV of FCFs (2025-2034)</t>
        </is>
      </c>
      <c r="B14" s="7" t="inlineStr">
        <is>
          <t>$28,400</t>
        </is>
      </c>
      <c r="C14" s="10" t="inlineStr">
        <is>
          <t>Discounted at 14.8%</t>
        </is>
      </c>
    </row>
    <row r="15">
      <c r="A15" s="13" t="inlineStr">
        <is>
          <t>Terminal Value (4% TGR)</t>
        </is>
      </c>
      <c r="B15" s="6" t="inlineStr">
        <is>
          <t>$82,000</t>
        </is>
      </c>
      <c r="C15" s="13" t="inlineStr">
        <is>
          <t>Based on 2034 FCF $1.8B</t>
        </is>
      </c>
    </row>
    <row r="16">
      <c r="A16" s="10" t="inlineStr">
        <is>
          <t>PV of Terminal Value</t>
        </is>
      </c>
      <c r="B16" s="7" t="inlineStr">
        <is>
          <t>$21,400</t>
        </is>
      </c>
      <c r="C16" s="10" t="inlineStr">
        <is>
          <t>Discounted 10 years</t>
        </is>
      </c>
    </row>
    <row r="17">
      <c r="A17" s="21" t="inlineStr">
        <is>
          <t>Enterprise Value</t>
        </is>
      </c>
      <c r="B17" s="22" t="inlineStr">
        <is>
          <t>$49,800</t>
        </is>
      </c>
      <c r="C17" s="13" t="inlineStr">
        <is>
          <t>Sum of above</t>
        </is>
      </c>
    </row>
    <row r="18">
      <c r="A18" s="10" t="inlineStr">
        <is>
          <t>Less: Net Debt (Net Cash)</t>
        </is>
      </c>
      <c r="B18" s="7" t="inlineStr">
        <is>
          <t>$300</t>
        </is>
      </c>
      <c r="C18" s="10" t="inlineStr">
        <is>
          <t>Add back net cash</t>
        </is>
      </c>
    </row>
    <row r="19">
      <c r="A19" s="13" t="inlineStr">
        <is>
          <t>Equity Value</t>
        </is>
      </c>
      <c r="B19" s="6" t="inlineStr">
        <is>
          <t>$50,100</t>
        </is>
      </c>
      <c r="C19" s="13" t="inlineStr">
        <is>
          <t>EV + net cash</t>
        </is>
      </c>
    </row>
    <row r="20">
      <c r="A20" s="10" t="inlineStr">
        <is>
          <t>Shares Outstanding (M)</t>
        </is>
      </c>
      <c r="B20" s="7" t="inlineStr">
        <is>
          <t>505</t>
        </is>
      </c>
      <c r="C20" s="10" t="inlineStr">
        <is>
          <t>Diluted</t>
        </is>
      </c>
    </row>
    <row r="21">
      <c r="A21" s="21" t="inlineStr">
        <is>
          <t>DCF Implied Price</t>
        </is>
      </c>
      <c r="B21" s="22" t="inlineStr">
        <is>
          <t>$99</t>
        </is>
      </c>
      <c r="C21" s="13" t="inlineStr">
        <is>
          <t>Per share</t>
        </is>
      </c>
    </row>
    <row r="23" ht="22" customHeight="1">
      <c r="A23" s="4" t="inlineStr">
        <is>
          <t xml:space="preserve">  SENSITIVITY — EV/REV MULTIPLE vs 2027E REVENUE</t>
        </is>
      </c>
    </row>
    <row r="24">
      <c r="A24" s="5" t="inlineStr">
        <is>
          <t>Rev \ Mult</t>
        </is>
      </c>
      <c r="B24" s="5" t="inlineStr">
        <is>
          <t>4x</t>
        </is>
      </c>
      <c r="C24" s="5" t="inlineStr">
        <is>
          <t>6x</t>
        </is>
      </c>
      <c r="D24" s="5" t="inlineStr">
        <is>
          <t>8x</t>
        </is>
      </c>
      <c r="E24" s="5" t="inlineStr">
        <is>
          <t>10x</t>
        </is>
      </c>
      <c r="F24" s="5" t="inlineStr">
        <is>
          <t>12x</t>
        </is>
      </c>
    </row>
    <row r="25">
      <c r="A25" s="5" t="inlineStr">
        <is>
          <t>$900M</t>
        </is>
      </c>
      <c r="B25" s="42" t="n">
        <v>7</v>
      </c>
      <c r="C25" s="42" t="n">
        <v>11</v>
      </c>
      <c r="D25" s="42" t="n">
        <v>14</v>
      </c>
      <c r="E25" s="42" t="n">
        <v>18</v>
      </c>
      <c r="F25" s="42" t="n">
        <v>21</v>
      </c>
    </row>
    <row r="26">
      <c r="A26" s="5" t="inlineStr">
        <is>
          <t>$1100M</t>
        </is>
      </c>
      <c r="B26" s="42" t="n">
        <v>9</v>
      </c>
      <c r="C26" s="42" t="n">
        <v>13</v>
      </c>
      <c r="D26" s="42" t="n">
        <v>17</v>
      </c>
      <c r="E26" s="42" t="n">
        <v>22</v>
      </c>
      <c r="F26" s="42" t="n">
        <v>26</v>
      </c>
    </row>
    <row r="27">
      <c r="A27" s="5" t="inlineStr">
        <is>
          <t>$1350M</t>
        </is>
      </c>
      <c r="B27" s="42" t="n">
        <v>11</v>
      </c>
      <c r="C27" s="42" t="n">
        <v>16</v>
      </c>
      <c r="D27" s="42" t="n">
        <v>21</v>
      </c>
      <c r="E27" s="42" t="n">
        <v>27</v>
      </c>
      <c r="F27" s="42" t="n">
        <v>32</v>
      </c>
    </row>
    <row r="28">
      <c r="A28" s="5" t="inlineStr">
        <is>
          <t>$1600M</t>
        </is>
      </c>
      <c r="B28" s="42" t="n">
        <v>13</v>
      </c>
      <c r="C28" s="42" t="n">
        <v>19</v>
      </c>
      <c r="D28" s="42" t="n">
        <v>25</v>
      </c>
      <c r="E28" s="42" t="n">
        <v>32</v>
      </c>
      <c r="F28" s="42" t="n">
        <v>38</v>
      </c>
    </row>
    <row r="29">
      <c r="A29" s="5" t="inlineStr">
        <is>
          <t>$1900M</t>
        </is>
      </c>
      <c r="B29" s="42" t="n">
        <v>15</v>
      </c>
      <c r="C29" s="42" t="n">
        <v>23</v>
      </c>
      <c r="D29" s="42" t="n">
        <v>30</v>
      </c>
      <c r="E29" s="42" t="n">
        <v>38</v>
      </c>
      <c r="F29" s="42" t="n">
        <v>45</v>
      </c>
    </row>
    <row r="31" ht="22" customHeight="1">
      <c r="A31" s="4" t="inlineStr">
        <is>
          <t xml:space="preserve">  BLENDED TARGET</t>
        </is>
      </c>
    </row>
    <row r="32">
      <c r="A32" s="19" t="inlineStr">
        <is>
          <t>Method</t>
        </is>
      </c>
      <c r="B32" s="19" t="inlineStr">
        <is>
          <t>Weight</t>
        </is>
      </c>
      <c r="C32" s="19" t="inlineStr">
        <is>
          <t>Price</t>
        </is>
      </c>
      <c r="D32" s="19" t="inlineStr">
        <is>
          <t>Notes</t>
        </is>
      </c>
    </row>
    <row r="33">
      <c r="A33" s="13" t="inlineStr">
        <is>
          <t>DCF</t>
        </is>
      </c>
      <c r="B33" s="6" t="inlineStr">
        <is>
          <t>40%</t>
        </is>
      </c>
      <c r="C33" s="6" t="inlineStr">
        <is>
          <t>$99</t>
        </is>
      </c>
      <c r="D33" s="13" t="inlineStr">
        <is>
          <t>WACC 14.8%, TGR 4%</t>
        </is>
      </c>
    </row>
    <row r="34">
      <c r="A34" s="10" t="inlineStr">
        <is>
          <t>EV/Rev 2026E (8x)</t>
        </is>
      </c>
      <c r="B34" s="7" t="inlineStr">
        <is>
          <t>40%</t>
        </is>
      </c>
      <c r="C34" s="7" t="inlineStr">
        <is>
          <t>$135</t>
        </is>
      </c>
      <c r="D34" s="10" t="inlineStr">
        <is>
          <t>$850M × 8x = $6.8B EV → $135</t>
        </is>
      </c>
    </row>
    <row r="35">
      <c r="A35" s="13" t="inlineStr">
        <is>
          <t>Scenario Weighted</t>
        </is>
      </c>
      <c r="B35" s="6" t="inlineStr">
        <is>
          <t>20%</t>
        </is>
      </c>
      <c r="C35" s="6" t="inlineStr">
        <is>
          <t>$138</t>
        </is>
      </c>
      <c r="D35" s="13" t="inlineStr">
        <is>
          <t>Bull×25+Base×55+Bear×20</t>
        </is>
      </c>
    </row>
    <row r="36">
      <c r="A36" s="43" t="inlineStr">
        <is>
          <t>BLENDED TARGET</t>
        </is>
      </c>
      <c r="B36" s="44" t="inlineStr">
        <is>
          <t>100%</t>
        </is>
      </c>
      <c r="C36" s="45" t="inlineStr">
        <is>
          <t>$130</t>
        </is>
      </c>
      <c r="D36" s="46" t="inlineStr">
        <is>
          <t>Final recommendation</t>
        </is>
      </c>
    </row>
    <row r="42">
      <c r="A42" s="18" t="inlineStr">
        <is>
          <t>Rocket Lab USA (RKLB) | Equity Research | Sentinel Investment | June 10, 2026 | Confidential</t>
        </is>
      </c>
    </row>
  </sheetData>
  <mergeCells count="5">
    <mergeCell ref="A12:E12"/>
    <mergeCell ref="A31:D31"/>
    <mergeCell ref="A3:C3"/>
    <mergeCell ref="A23:E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2026-06-10T19:49:02Z</dcterms:created>
  <dcterms:modified xsi:type="dcterms:W3CDTF">2026-06-10T19:49:02Z</dcterms:modified>
</cp:coreProperties>
</file>