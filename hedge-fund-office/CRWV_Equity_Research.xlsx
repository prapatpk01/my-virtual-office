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dustry &amp; Competition" sheetId="2" state="visible" r:id="rId2"/>
    <sheet name="Financials &amp; Earnings" sheetId="3" state="visible" r:id="rId3"/>
    <sheet name="Thesis, Catalysts &amp; Risks" sheetId="4" state="visible" r:id="rId4"/>
    <sheet name="3-Statement Model" sheetId="5" state="visible" r:id="rId5"/>
    <sheet name="Valuation &amp;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$#,##0.00"/>
    <numFmt numFmtId="166" formatCode="$#,##0"/>
  </numFmts>
  <fonts count="20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AAAA"/>
      <sz val="10"/>
    </font>
    <font>
      <b val="1"/>
      <color rgb="0027AE60"/>
      <sz val="12"/>
    </font>
    <font>
      <b val="1"/>
      <color rgb="00FFFFFF"/>
      <sz val="11"/>
    </font>
    <font>
      <b val="1"/>
      <color rgb="00FFFFFF"/>
      <sz val="10"/>
    </font>
    <font>
      <color rgb="001A1A2E"/>
      <sz val="10"/>
    </font>
    <font>
      <b val="1"/>
      <color rgb="0027AE60"/>
      <sz val="10"/>
    </font>
    <font>
      <b val="1"/>
      <color rgb="00FFD700"/>
      <sz val="10"/>
    </font>
    <font>
      <b val="1"/>
      <color rgb="00C0392B"/>
      <sz val="10"/>
    </font>
    <font>
      <b val="1"/>
      <color rgb="005B9BD5"/>
      <sz val="10"/>
    </font>
    <font>
      <color rgb="0027AE60"/>
      <sz val="10"/>
    </font>
    <font>
      <color rgb="00C0392B"/>
      <sz val="10"/>
    </font>
    <font>
      <i val="1"/>
      <color rgb="00888888"/>
      <sz val="9"/>
    </font>
    <font>
      <b val="1"/>
      <color rgb="000D1B2A"/>
      <sz val="10"/>
    </font>
    <font>
      <b val="1"/>
      <color rgb="001A1A2E"/>
      <sz val="10"/>
    </font>
    <font>
      <color rgb="00FFD700"/>
      <sz val="10"/>
    </font>
    <font>
      <b val="1"/>
      <color rgb="00E67E22"/>
      <sz val="10"/>
    </font>
    <font>
      <b val="1"/>
      <color rgb="00F39C12"/>
      <sz val="10"/>
    </font>
    <font>
      <color rgb="000000CD"/>
      <sz val="10"/>
    </font>
  </fonts>
  <fills count="1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D2010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0D1B2A"/>
      </patternFill>
    </fill>
    <fill>
      <patternFill patternType="solid">
        <fgColor rgb="00E8F4FD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1" fillId="7" borderId="0" pivotButton="0" quotePrefix="0" xfId="0"/>
    <xf numFmtId="0" fontId="9" fillId="0" borderId="0" pivotButton="0" quotePrefix="0" xfId="0"/>
    <xf numFmtId="0" fontId="12" fillId="8" borderId="0" pivotButton="0" quotePrefix="0" xfId="0"/>
    <xf numFmtId="0" fontId="13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0" fillId="6" borderId="1" pivotButton="0" quotePrefix="0" xfId="0"/>
    <xf numFmtId="164" fontId="7" fillId="6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165" fontId="7" fillId="10" borderId="1" applyAlignment="1" pivotButton="0" quotePrefix="0" xfId="0">
      <alignment horizontal="center" vertical="center" wrapText="1"/>
    </xf>
    <xf numFmtId="166" fontId="6" fillId="13" borderId="1" applyAlignment="1" pivotButton="0" quotePrefix="0" xfId="0">
      <alignment horizontal="center" vertical="center" wrapText="1"/>
    </xf>
    <xf numFmtId="166" fontId="6" fillId="14" borderId="1" applyAlignment="1" pivotButton="0" quotePrefix="0" xfId="0">
      <alignment horizontal="center" vertical="center" wrapText="1"/>
    </xf>
    <xf numFmtId="166" fontId="6" fillId="15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 Cloud TAM Growth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'Industry &amp; Competition'!B4</f>
            </strRef>
          </tx>
          <spPr>
            <a:ln>
              <a:prstDash val="solid"/>
            </a:ln>
          </spPr>
          <cat>
            <numRef>
              <f>'Industry &amp; Competition'!$A$5:$A$12</f>
            </numRef>
          </cat>
          <val>
            <numRef>
              <f>'Industry &amp; Competition'!$B$5:$B$12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TAM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Growth (USD M)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'Financials &amp; Earnings'!$I$39:$I$44</f>
            </numRef>
          </cat>
          <val>
            <numRef>
              <f>'Financials &amp; Earnings'!$J$39:$J$44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30" customWidth="1" min="8" max="8"/>
  </cols>
  <sheetData>
    <row r="1" ht="30" customHeight="1">
      <c r="A1" s="1" t="inlineStr">
        <is>
          <t xml:space="preserve">  CRWV — CoreWeave, Inc. | Equity Research</t>
        </is>
      </c>
    </row>
    <row r="2">
      <c r="A2" s="2" t="inlineStr">
        <is>
          <t>AI Cloud Infrastructure | GPU Computing | June 10, 2026</t>
        </is>
      </c>
    </row>
    <row r="3" ht="28" customHeight="1">
      <c r="A3" s="3" t="inlineStr">
        <is>
          <t xml:space="preserve">  RATING: BUY  |  TARGET PRICE: $125  |  CURRENT: $102.37  |  UPSIDE: +22.1%</t>
        </is>
      </c>
    </row>
    <row r="5">
      <c r="A5" s="4" t="inlineStr">
        <is>
          <t xml:space="preserve">  KEY METRICS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Metric</t>
        </is>
      </c>
      <c r="D6" s="5" t="inlineStr">
        <is>
          <t>Value</t>
        </is>
      </c>
      <c r="E6" s="5" t="inlineStr">
        <is>
          <t>Metric</t>
        </is>
      </c>
      <c r="F6" s="5" t="inlineStr">
        <is>
          <t>Value</t>
        </is>
      </c>
      <c r="G6" s="5" t="inlineStr">
        <is>
          <t>Metric</t>
        </is>
      </c>
      <c r="H6" s="5" t="inlineStr">
        <is>
          <t>Value</t>
        </is>
      </c>
    </row>
    <row r="7">
      <c r="A7" s="6" t="inlineStr">
        <is>
          <t>Current Price</t>
        </is>
      </c>
      <c r="B7" s="6" t="inlineStr">
        <is>
          <t>$102.37</t>
        </is>
      </c>
      <c r="C7" s="6" t="inlineStr">
        <is>
          <t>Market Cap</t>
        </is>
      </c>
      <c r="D7" s="6" t="inlineStr">
        <is>
          <t>$42.5B</t>
        </is>
      </c>
      <c r="E7" s="6" t="inlineStr">
        <is>
          <t>52W High</t>
        </is>
      </c>
      <c r="F7" s="6" t="inlineStr">
        <is>
          <t>$134.80</t>
        </is>
      </c>
      <c r="G7" s="6" t="inlineStr">
        <is>
          <t>52W Low</t>
        </is>
      </c>
      <c r="H7" s="6" t="inlineStr">
        <is>
          <t>$38.15</t>
        </is>
      </c>
    </row>
    <row r="8">
      <c r="A8" s="7" t="inlineStr">
        <is>
          <t>Enterprise Value</t>
        </is>
      </c>
      <c r="B8" s="7" t="inlineStr">
        <is>
          <t>$50.0B</t>
        </is>
      </c>
      <c r="C8" s="7" t="inlineStr">
        <is>
          <t>Net Debt</t>
        </is>
      </c>
      <c r="D8" s="7" t="inlineStr">
        <is>
          <t>$7.5B</t>
        </is>
      </c>
      <c r="E8" s="7" t="inlineStr">
        <is>
          <t>IPO Price</t>
        </is>
      </c>
      <c r="F8" s="7" t="inlineStr">
        <is>
          <t>$40.00</t>
        </is>
      </c>
      <c r="G8" s="7" t="inlineStr">
        <is>
          <t>IPO Date</t>
        </is>
      </c>
      <c r="H8" s="7" t="inlineStr">
        <is>
          <t>Mar 28, 2025</t>
        </is>
      </c>
    </row>
    <row r="9">
      <c r="A9" s="6" t="inlineStr">
        <is>
          <t>2024A Revenue</t>
        </is>
      </c>
      <c r="B9" s="6" t="inlineStr">
        <is>
          <t>$1,915M</t>
        </is>
      </c>
      <c r="C9" s="6" t="inlineStr">
        <is>
          <t>2025E Revenue</t>
        </is>
      </c>
      <c r="D9" s="6" t="inlineStr">
        <is>
          <t>$4,200M</t>
        </is>
      </c>
      <c r="E9" s="6" t="inlineStr">
        <is>
          <t>Rev Growth (25E)</t>
        </is>
      </c>
      <c r="F9" s="6" t="inlineStr">
        <is>
          <t>~+119%</t>
        </is>
      </c>
      <c r="G9" s="6" t="inlineStr">
        <is>
          <t>Gross Margin 25E</t>
        </is>
      </c>
      <c r="H9" s="6" t="inlineStr">
        <is>
          <t>~52%</t>
        </is>
      </c>
    </row>
    <row r="10">
      <c r="A10" s="7" t="inlineStr">
        <is>
          <t>EV/Rev 2025E</t>
        </is>
      </c>
      <c r="B10" s="7" t="inlineStr">
        <is>
          <t>11.9x</t>
        </is>
      </c>
      <c r="C10" s="7" t="inlineStr">
        <is>
          <t>EV/Rev 2026E</t>
        </is>
      </c>
      <c r="D10" s="7" t="inlineStr">
        <is>
          <t>6.7x</t>
        </is>
      </c>
      <c r="E10" s="7" t="inlineStr">
        <is>
          <t>Backlog</t>
        </is>
      </c>
      <c r="F10" s="7" t="inlineStr">
        <is>
          <t>$23B+</t>
        </is>
      </c>
      <c r="G10" s="7" t="inlineStr">
        <is>
          <t>MSFT % Revenue</t>
        </is>
      </c>
      <c r="H10" s="7" t="inlineStr">
        <is>
          <t>~62%</t>
        </is>
      </c>
    </row>
    <row r="11">
      <c r="A11" s="6" t="inlineStr">
        <is>
          <t>Shares (dil.)</t>
        </is>
      </c>
      <c r="B11" s="6" t="inlineStr">
        <is>
          <t>~415M</t>
        </is>
      </c>
      <c r="C11" s="6" t="inlineStr">
        <is>
          <t>FCF 2027E</t>
        </is>
      </c>
      <c r="D11" s="6" t="inlineStr">
        <is>
          <t>$2.1B</t>
        </is>
      </c>
      <c r="E11" s="6" t="inlineStr">
        <is>
          <t>D/E Ratio</t>
        </is>
      </c>
      <c r="F11" s="6" t="inlineStr">
        <is>
          <t>~5x</t>
        </is>
      </c>
      <c r="G11" s="6" t="inlineStr">
        <is>
          <t>Net Debt/EBITDA</t>
        </is>
      </c>
      <c r="H11" s="6" t="inlineStr">
        <is>
          <t>~5x</t>
        </is>
      </c>
    </row>
    <row r="13">
      <c r="A13" s="4" t="inlineStr">
        <is>
          <t xml:space="preserve">  TARGET PRICE SCENARIOS</t>
        </is>
      </c>
    </row>
    <row r="14">
      <c r="A14" s="5" t="inlineStr">
        <is>
          <t>Scenario</t>
        </is>
      </c>
      <c r="B14" s="5" t="inlineStr">
        <is>
          <t>12M Target</t>
        </is>
      </c>
      <c r="C14" s="5" t="inlineStr">
        <is>
          <t>Upside/Down</t>
        </is>
      </c>
      <c r="D14" s="5" t="inlineStr">
        <is>
          <t>Probability</t>
        </is>
      </c>
      <c r="E14" s="5" t="inlineStr">
        <is>
          <t>Key Assumption</t>
        </is>
      </c>
    </row>
    <row r="15">
      <c r="A15" s="8" t="inlineStr">
        <is>
          <t>BULL</t>
        </is>
      </c>
      <c r="B15" s="8" t="inlineStr">
        <is>
          <t>$180</t>
        </is>
      </c>
      <c r="C15" s="8" t="inlineStr">
        <is>
          <t>+75.8%</t>
        </is>
      </c>
      <c r="D15" s="6" t="inlineStr">
        <is>
          <t>30%</t>
        </is>
      </c>
      <c r="E15" s="9" t="inlineStr">
        <is>
          <t>Hyperscaler wins expand + margin inflection 2026</t>
        </is>
      </c>
    </row>
    <row r="16">
      <c r="A16" s="10" t="inlineStr">
        <is>
          <t>BASE</t>
        </is>
      </c>
      <c r="B16" s="10" t="inlineStr">
        <is>
          <t>$125</t>
        </is>
      </c>
      <c r="C16" s="11" t="inlineStr">
        <is>
          <t>+22.1%</t>
        </is>
      </c>
      <c r="D16" s="7" t="inlineStr">
        <is>
          <t>50%</t>
        </is>
      </c>
      <c r="E16" s="12" t="inlineStr">
        <is>
          <t>Steady backlog execution, FCF positive 2027E</t>
        </is>
      </c>
    </row>
    <row r="17">
      <c r="A17" s="13" t="inlineStr">
        <is>
          <t>BEAR</t>
        </is>
      </c>
      <c r="B17" s="13" t="inlineStr">
        <is>
          <t>$55</t>
        </is>
      </c>
      <c r="C17" s="13" t="inlineStr">
        <is>
          <t>-46.3%</t>
        </is>
      </c>
      <c r="D17" s="6" t="inlineStr">
        <is>
          <t>20%</t>
        </is>
      </c>
      <c r="E17" s="9" t="inlineStr">
        <is>
          <t>MSFT concentration risk, capex overrun</t>
        </is>
      </c>
    </row>
    <row r="18">
      <c r="A18" s="14" t="inlineStr">
        <is>
          <t>WEIGHTED</t>
        </is>
      </c>
      <c r="B18" s="14" t="inlineStr">
        <is>
          <t>$127</t>
        </is>
      </c>
      <c r="C18" s="11" t="inlineStr">
        <is>
          <t>+24.1%</t>
        </is>
      </c>
      <c r="D18" s="7" t="inlineStr">
        <is>
          <t>100%</t>
        </is>
      </c>
      <c r="E18" s="12" t="inlineStr">
        <is>
          <t>Probability-weighted blend</t>
        </is>
      </c>
    </row>
    <row r="20">
      <c r="A20" s="4" t="inlineStr">
        <is>
          <t xml:space="preserve">  INVESTMENT THESIS</t>
        </is>
      </c>
    </row>
    <row r="21">
      <c r="A21" s="15" t="inlineStr">
        <is>
          <t>● BULL CASE</t>
        </is>
      </c>
    </row>
    <row r="22">
      <c r="A22" s="16" t="inlineStr">
        <is>
          <t xml:space="preserve">  ✓  Pure-play GPU cloud with $23B+ contracted backlog — revenue visibility 3+ years</t>
        </is>
      </c>
    </row>
    <row r="23">
      <c r="A23" s="16" t="inlineStr">
        <is>
          <t xml:space="preserve">  ✓  NVIDIA strategic partnership ensures priority H100/H200/Blackwell allocation</t>
        </is>
      </c>
    </row>
    <row r="24">
      <c r="A24" s="16" t="inlineStr">
        <is>
          <t xml:space="preserve">  ✓  119% YoY revenue growth in $600B AI cloud TAM growing at 44% CAGR</t>
        </is>
      </c>
    </row>
    <row r="25">
      <c r="A25" s="16" t="inlineStr">
        <is>
          <t xml:space="preserve">  ✓  Gross margin expansion: 47% (2024A) → 59% (2029E) as utilization scales</t>
        </is>
      </c>
    </row>
    <row r="26">
      <c r="A26" s="16" t="inlineStr">
        <is>
          <t xml:space="preserve">  ✓  Microsoft partnership (~62% rev) validates enterprise-grade infrastructure quality</t>
        </is>
      </c>
    </row>
    <row r="28">
      <c r="A28" s="17" t="inlineStr">
        <is>
          <t>● BEAR CASE</t>
        </is>
      </c>
    </row>
    <row r="29">
      <c r="A29" s="18" t="inlineStr">
        <is>
          <t xml:space="preserve">  ✗  Customer concentration: MSFT = 62% of revenue (single-point failure)</t>
        </is>
      </c>
    </row>
    <row r="30">
      <c r="A30" s="18" t="inlineStr">
        <is>
          <t xml:space="preserve">  ✗  $9B gross debt → heavy interest burden delaying profitability</t>
        </is>
      </c>
    </row>
    <row r="31">
      <c r="A31" s="18" t="inlineStr">
        <is>
          <t xml:space="preserve">  ✗  Hyperscalers (AWS, Azure, GCP) building own GPU infrastructure</t>
        </is>
      </c>
    </row>
    <row r="32">
      <c r="A32" s="18" t="inlineStr">
        <is>
          <t xml:space="preserve">  ✗  AI spending slowdown could compress valuations sector-wide</t>
        </is>
      </c>
    </row>
    <row r="36">
      <c r="A36" s="19" t="inlineStr">
        <is>
          <t>CoreWeave (CRWV) | Equity Research | Sentinel Investment | June 10, 2026 | Confidential</t>
        </is>
      </c>
    </row>
  </sheetData>
  <mergeCells count="17">
    <mergeCell ref="A1:H1"/>
    <mergeCell ref="A3:H3"/>
    <mergeCell ref="A21:H21"/>
    <mergeCell ref="A26:H26"/>
    <mergeCell ref="A30:H30"/>
    <mergeCell ref="A29:H29"/>
    <mergeCell ref="A25:H25"/>
    <mergeCell ref="A20:H20"/>
    <mergeCell ref="A24:H24"/>
    <mergeCell ref="A2:H2"/>
    <mergeCell ref="A28:H28"/>
    <mergeCell ref="A13:H13"/>
    <mergeCell ref="A5:H5"/>
    <mergeCell ref="A23:H23"/>
    <mergeCell ref="A32:H32"/>
    <mergeCell ref="A31:H3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H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 xml:space="preserve">  INDUSTRY &amp; COMPETITION — AI Cloud Infrastructure</t>
        </is>
      </c>
    </row>
    <row r="3">
      <c r="A3" s="4" t="inlineStr">
        <is>
          <t xml:space="preserve">  TAM &amp; MARKET GROWTH</t>
        </is>
      </c>
    </row>
    <row r="4">
      <c r="A4" s="20" t="inlineStr">
        <is>
          <t>Year</t>
        </is>
      </c>
      <c r="B4" s="20" t="inlineStr">
        <is>
          <t>AI Cloud TAM ($B)</t>
        </is>
      </c>
      <c r="C4" s="20" t="inlineStr">
        <is>
          <t>YoY Growth</t>
        </is>
      </c>
      <c r="D4" s="20" t="inlineStr">
        <is>
          <t>CRWV Market Share</t>
        </is>
      </c>
      <c r="E4" s="20" t="inlineStr">
        <is>
          <t>CRWV Revenue ($M)</t>
        </is>
      </c>
      <c r="F4" s="20" t="inlineStr">
        <is>
          <t>CAGR Note</t>
        </is>
      </c>
    </row>
    <row r="5">
      <c r="A5" s="6" t="inlineStr">
        <is>
          <t>2022</t>
        </is>
      </c>
      <c r="B5" s="6" t="inlineStr">
        <is>
          <t>15</t>
        </is>
      </c>
      <c r="C5" s="6" t="inlineStr">
        <is>
          <t>—</t>
        </is>
      </c>
      <c r="D5" s="6" t="inlineStr">
        <is>
          <t>0.1%</t>
        </is>
      </c>
      <c r="E5" s="6" t="inlineStr">
        <is>
          <t>16</t>
        </is>
      </c>
      <c r="F5" s="6" t="inlineStr">
        <is>
          <t>Early stage</t>
        </is>
      </c>
    </row>
    <row r="6">
      <c r="A6" s="7" t="inlineStr">
        <is>
          <t>2023</t>
        </is>
      </c>
      <c r="B6" s="7" t="inlineStr">
        <is>
          <t>28</t>
        </is>
      </c>
      <c r="C6" s="7" t="inlineStr">
        <is>
          <t>87%</t>
        </is>
      </c>
      <c r="D6" s="7" t="inlineStr">
        <is>
          <t>0.8%</t>
        </is>
      </c>
      <c r="E6" s="7" t="inlineStr">
        <is>
          <t>229</t>
        </is>
      </c>
      <c r="F6" s="7" t="inlineStr">
        <is>
          <t>Hypergrowth begins</t>
        </is>
      </c>
    </row>
    <row r="7">
      <c r="A7" s="6" t="inlineStr">
        <is>
          <t>2024</t>
        </is>
      </c>
      <c r="B7" s="6" t="inlineStr">
        <is>
          <t>65</t>
        </is>
      </c>
      <c r="C7" s="6" t="inlineStr">
        <is>
          <t>132%</t>
        </is>
      </c>
      <c r="D7" s="6" t="inlineStr">
        <is>
          <t>2.9%</t>
        </is>
      </c>
      <c r="E7" s="6" t="inlineStr">
        <is>
          <t>1915</t>
        </is>
      </c>
      <c r="F7" s="6" t="inlineStr">
        <is>
          <t>Breakout year</t>
        </is>
      </c>
    </row>
    <row r="8">
      <c r="A8" s="7" t="inlineStr">
        <is>
          <t>2025E</t>
        </is>
      </c>
      <c r="B8" s="7" t="inlineStr">
        <is>
          <t>120</t>
        </is>
      </c>
      <c r="C8" s="7" t="inlineStr">
        <is>
          <t>85%</t>
        </is>
      </c>
      <c r="D8" s="7" t="inlineStr">
        <is>
          <t>3.5%</t>
        </is>
      </c>
      <c r="E8" s="7" t="inlineStr">
        <is>
          <t>4200</t>
        </is>
      </c>
      <c r="F8" s="7" t="inlineStr">
        <is>
          <t>Post-IPO scale</t>
        </is>
      </c>
    </row>
    <row r="9">
      <c r="A9" s="6" t="inlineStr">
        <is>
          <t>2026E</t>
        </is>
      </c>
      <c r="B9" s="6" t="inlineStr">
        <is>
          <t>200</t>
        </is>
      </c>
      <c r="C9" s="6" t="inlineStr">
        <is>
          <t>67%</t>
        </is>
      </c>
      <c r="D9" s="6" t="inlineStr">
        <is>
          <t>3.8%</t>
        </is>
      </c>
      <c r="E9" s="6" t="inlineStr">
        <is>
          <t>7500</t>
        </is>
      </c>
      <c r="F9" s="6" t="inlineStr">
        <is>
          <t>Margin inflection</t>
        </is>
      </c>
    </row>
    <row r="10">
      <c r="A10" s="7" t="inlineStr">
        <is>
          <t>2027E</t>
        </is>
      </c>
      <c r="B10" s="7" t="inlineStr">
        <is>
          <t>300</t>
        </is>
      </c>
      <c r="C10" s="7" t="inlineStr">
        <is>
          <t>50%</t>
        </is>
      </c>
      <c r="D10" s="7" t="inlineStr">
        <is>
          <t>3.7%</t>
        </is>
      </c>
      <c r="E10" s="7" t="inlineStr">
        <is>
          <t>11000</t>
        </is>
      </c>
      <c r="F10" s="7" t="inlineStr">
        <is>
          <t>FCF positive</t>
        </is>
      </c>
    </row>
    <row r="11">
      <c r="A11" s="6" t="inlineStr">
        <is>
          <t>2028E</t>
        </is>
      </c>
      <c r="B11" s="6" t="inlineStr">
        <is>
          <t>400</t>
        </is>
      </c>
      <c r="C11" s="6" t="inlineStr">
        <is>
          <t>33%</t>
        </is>
      </c>
      <c r="D11" s="6" t="inlineStr">
        <is>
          <t>3.6%</t>
        </is>
      </c>
      <c r="E11" s="6" t="inlineStr">
        <is>
          <t>14500</t>
        </is>
      </c>
      <c r="F11" s="6" t="inlineStr">
        <is>
          <t>Mature growth</t>
        </is>
      </c>
    </row>
    <row r="12">
      <c r="A12" s="7" t="inlineStr">
        <is>
          <t>2030E</t>
        </is>
      </c>
      <c r="B12" s="7" t="inlineStr">
        <is>
          <t>580</t>
        </is>
      </c>
      <c r="C12" s="7" t="inlineStr">
        <is>
          <t>20%</t>
        </is>
      </c>
      <c r="D12" s="7" t="inlineStr">
        <is>
          <t>3.2%</t>
        </is>
      </c>
      <c r="E12" s="7" t="inlineStr">
        <is>
          <t>18500</t>
        </is>
      </c>
      <c r="F12" s="7" t="inlineStr">
        <is>
          <t>44% CAGR target</t>
        </is>
      </c>
    </row>
    <row r="14">
      <c r="A14" s="4" t="inlineStr">
        <is>
          <t xml:space="preserve">  COMPETITOR ANALYSIS</t>
        </is>
      </c>
    </row>
    <row r="15">
      <c r="A15" s="20" t="inlineStr">
        <is>
          <t>Company</t>
        </is>
      </c>
      <c r="B15" s="20" t="inlineStr">
        <is>
          <t>2024 Revenue</t>
        </is>
      </c>
      <c r="C15" s="20" t="inlineStr">
        <is>
          <t>Rev Growth</t>
        </is>
      </c>
      <c r="D15" s="20" t="inlineStr">
        <is>
          <t>Gross Margin</t>
        </is>
      </c>
      <c r="E15" s="20" t="inlineStr">
        <is>
          <t>GPU Specialization</t>
        </is>
      </c>
      <c r="F15" s="20" t="inlineStr">
        <is>
          <t>Moat</t>
        </is>
      </c>
      <c r="G15" s="20" t="inlineStr">
        <is>
          <t>Threat to CRWV</t>
        </is>
      </c>
    </row>
    <row r="16">
      <c r="A16" s="21" t="inlineStr">
        <is>
          <t>CoreWeave (CRWV)</t>
        </is>
      </c>
      <c r="B16" s="21" t="inlineStr">
        <is>
          <t>$1.9B</t>
        </is>
      </c>
      <c r="C16" s="21" t="inlineStr">
        <is>
          <t>+728%</t>
        </is>
      </c>
      <c r="D16" s="21" t="inlineStr">
        <is>
          <t>47%</t>
        </is>
      </c>
      <c r="E16" s="21" t="inlineStr">
        <is>
          <t>Pure-play GPU ✅</t>
        </is>
      </c>
      <c r="F16" s="21" t="inlineStr">
        <is>
          <t>NVIDIA partnership</t>
        </is>
      </c>
      <c r="G16" s="21" t="inlineStr">
        <is>
          <t>—</t>
        </is>
      </c>
    </row>
    <row r="17">
      <c r="A17" s="6" t="inlineStr">
        <is>
          <t>AWS (Amazon)</t>
        </is>
      </c>
      <c r="B17" s="6" t="inlineStr">
        <is>
          <t>$107B</t>
        </is>
      </c>
      <c r="C17" s="6" t="inlineStr">
        <is>
          <t>+17%</t>
        </is>
      </c>
      <c r="D17" s="6" t="inlineStr">
        <is>
          <t>~60%</t>
        </is>
      </c>
      <c r="E17" s="6" t="inlineStr">
        <is>
          <t>General cloud</t>
        </is>
      </c>
      <c r="F17" s="6" t="inlineStr">
        <is>
          <t>Scale + ecosystem</t>
        </is>
      </c>
      <c r="G17" s="6" t="inlineStr">
        <is>
          <t>HIGH</t>
        </is>
      </c>
    </row>
    <row r="18">
      <c r="A18" s="7" t="inlineStr">
        <is>
          <t>Azure (Microsoft)</t>
        </is>
      </c>
      <c r="B18" s="7" t="inlineStr">
        <is>
          <t>$135B</t>
        </is>
      </c>
      <c r="C18" s="7" t="inlineStr">
        <is>
          <t>+21%</t>
        </is>
      </c>
      <c r="D18" s="7" t="inlineStr">
        <is>
          <t>~68%</t>
        </is>
      </c>
      <c r="E18" s="7" t="inlineStr">
        <is>
          <t>General + AI</t>
        </is>
      </c>
      <c r="F18" s="7" t="inlineStr">
        <is>
          <t>CRWV customer/partner</t>
        </is>
      </c>
      <c r="G18" s="7" t="inlineStr">
        <is>
          <t>MEDIUM</t>
        </is>
      </c>
    </row>
    <row r="19">
      <c r="A19" s="6" t="inlineStr">
        <is>
          <t>GCP (Google)</t>
        </is>
      </c>
      <c r="B19" s="6" t="inlineStr">
        <is>
          <t>$43B</t>
        </is>
      </c>
      <c r="C19" s="6" t="inlineStr">
        <is>
          <t>+30%</t>
        </is>
      </c>
      <c r="D19" s="6" t="inlineStr">
        <is>
          <t>~55%</t>
        </is>
      </c>
      <c r="E19" s="6" t="inlineStr">
        <is>
          <t>General + AI</t>
        </is>
      </c>
      <c r="F19" s="6" t="inlineStr">
        <is>
          <t>TPU + Gemini infra</t>
        </is>
      </c>
      <c r="G19" s="6" t="inlineStr">
        <is>
          <t>HIGH</t>
        </is>
      </c>
    </row>
    <row r="20">
      <c r="A20" s="7" t="inlineStr">
        <is>
          <t>Lambda Labs</t>
        </is>
      </c>
      <c r="B20" s="7" t="inlineStr">
        <is>
          <t>~$0.8B</t>
        </is>
      </c>
      <c r="C20" s="7" t="inlineStr">
        <is>
          <t>~+200%</t>
        </is>
      </c>
      <c r="D20" s="7" t="inlineStr">
        <is>
          <t>~40%</t>
        </is>
      </c>
      <c r="E20" s="7" t="inlineStr">
        <is>
          <t>GPU Cloud</t>
        </is>
      </c>
      <c r="F20" s="7" t="inlineStr">
        <is>
          <t>Price aggression</t>
        </is>
      </c>
      <c r="G20" s="7" t="inlineStr">
        <is>
          <t>MEDIUM</t>
        </is>
      </c>
    </row>
    <row r="21">
      <c r="A21" s="6" t="inlineStr">
        <is>
          <t>Oracle Cloud</t>
        </is>
      </c>
      <c r="B21" s="6" t="inlineStr">
        <is>
          <t>$19.8B</t>
        </is>
      </c>
      <c r="C21" s="6" t="inlineStr">
        <is>
          <t>+25%</t>
        </is>
      </c>
      <c r="D21" s="6" t="inlineStr">
        <is>
          <t>~58%</t>
        </is>
      </c>
      <c r="E21" s="6" t="inlineStr">
        <is>
          <t>Growing AI infra</t>
        </is>
      </c>
      <c r="F21" s="6" t="inlineStr">
        <is>
          <t>Enterprise relationships</t>
        </is>
      </c>
      <c r="G21" s="6" t="inlineStr">
        <is>
          <t>MEDIUM</t>
        </is>
      </c>
    </row>
    <row r="23">
      <c r="A23" s="4" t="inlineStr">
        <is>
          <t xml:space="preserve">  COMPETITIVE MOAT ANALYSIS</t>
        </is>
      </c>
    </row>
    <row r="24">
      <c r="A24" s="20" t="inlineStr">
        <is>
          <t>Moat Factor</t>
        </is>
      </c>
      <c r="B24" s="20" t="inlineStr">
        <is>
          <t>CRWV</t>
        </is>
      </c>
      <c r="C24" s="20" t="inlineStr">
        <is>
          <t>AWS</t>
        </is>
      </c>
      <c r="D24" s="20" t="inlineStr">
        <is>
          <t>Azure</t>
        </is>
      </c>
      <c r="E24" s="20" t="inlineStr">
        <is>
          <t>GCP</t>
        </is>
      </c>
      <c r="F24" s="20" t="inlineStr">
        <is>
          <t>Score</t>
        </is>
      </c>
    </row>
    <row r="25">
      <c r="A25" s="6" t="inlineStr">
        <is>
          <t>GPU First-Mover</t>
        </is>
      </c>
      <c r="B25" s="22" t="inlineStr">
        <is>
          <t>★★★★★</t>
        </is>
      </c>
      <c r="C25" s="6" t="inlineStr">
        <is>
          <t>★★★</t>
        </is>
      </c>
      <c r="D25" s="6" t="inlineStr">
        <is>
          <t>★★★</t>
        </is>
      </c>
      <c r="E25" s="6" t="inlineStr">
        <is>
          <t>★★★</t>
        </is>
      </c>
      <c r="F25" s="6" t="inlineStr">
        <is>
          <t>High</t>
        </is>
      </c>
    </row>
    <row r="26">
      <c r="A26" s="7" t="inlineStr">
        <is>
          <t>NVIDIA Partnership</t>
        </is>
      </c>
      <c r="B26" s="23" t="inlineStr">
        <is>
          <t>★★★★★</t>
        </is>
      </c>
      <c r="C26" s="7" t="inlineStr">
        <is>
          <t>★★★</t>
        </is>
      </c>
      <c r="D26" s="7" t="inlineStr">
        <is>
          <t>★★★</t>
        </is>
      </c>
      <c r="E26" s="7" t="inlineStr">
        <is>
          <t>★★★★</t>
        </is>
      </c>
      <c r="F26" s="7" t="inlineStr">
        <is>
          <t>High</t>
        </is>
      </c>
    </row>
    <row r="27">
      <c r="A27" s="6" t="inlineStr">
        <is>
          <t>Contract Lock-in ($23B+)</t>
        </is>
      </c>
      <c r="B27" s="22" t="inlineStr">
        <is>
          <t>★★★★</t>
        </is>
      </c>
      <c r="C27" s="6" t="inlineStr">
        <is>
          <t>★★★</t>
        </is>
      </c>
      <c r="D27" s="6" t="inlineStr">
        <is>
          <t>★★★</t>
        </is>
      </c>
      <c r="E27" s="6" t="inlineStr">
        <is>
          <t>★★★</t>
        </is>
      </c>
      <c r="F27" s="6" t="inlineStr">
        <is>
          <t>High</t>
        </is>
      </c>
    </row>
    <row r="28">
      <c r="A28" s="7" t="inlineStr">
        <is>
          <t>Switching Costs</t>
        </is>
      </c>
      <c r="B28" s="23" t="inlineStr">
        <is>
          <t>★★★★</t>
        </is>
      </c>
      <c r="C28" s="7" t="inlineStr">
        <is>
          <t>★★★★</t>
        </is>
      </c>
      <c r="D28" s="7" t="inlineStr">
        <is>
          <t>★★★★</t>
        </is>
      </c>
      <c r="E28" s="7" t="inlineStr">
        <is>
          <t>★★★★</t>
        </is>
      </c>
      <c r="F28" s="7" t="inlineStr">
        <is>
          <t>Med-High</t>
        </is>
      </c>
    </row>
    <row r="29">
      <c r="A29" s="6" t="inlineStr">
        <is>
          <t>Brand &amp; Scale</t>
        </is>
      </c>
      <c r="B29" s="22" t="inlineStr">
        <is>
          <t>★★★</t>
        </is>
      </c>
      <c r="C29" s="6" t="inlineStr">
        <is>
          <t>★★★★★</t>
        </is>
      </c>
      <c r="D29" s="6" t="inlineStr">
        <is>
          <t>★★★★★</t>
        </is>
      </c>
      <c r="E29" s="6" t="inlineStr">
        <is>
          <t>★★★★★</t>
        </is>
      </c>
      <c r="F29" s="6" t="inlineStr">
        <is>
          <t>Low</t>
        </is>
      </c>
    </row>
    <row r="46">
      <c r="A46" s="19" t="inlineStr">
        <is>
          <t>CoreWeave (CRWV) | Equity Research | Sentinel Investment | June 10, 2026 | Confidential</t>
        </is>
      </c>
    </row>
  </sheetData>
  <mergeCells count="4">
    <mergeCell ref="A3:F3"/>
    <mergeCell ref="A14:G14"/>
    <mergeCell ref="A23:F2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5F8A"/>
    <outlinePr summaryBelow="1" summaryRight="1"/>
    <pageSetUpPr/>
  </sheetPr>
  <dimension ref="A1:J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 xml:space="preserve">  FINANCIALS &amp; EARNINGS ANALYSIS</t>
        </is>
      </c>
    </row>
    <row r="3">
      <c r="A3" s="4" t="inlineStr">
        <is>
          <t xml:space="preserve">  INCOME STATEMENT (USD Millions)</t>
        </is>
      </c>
    </row>
    <row r="4">
      <c r="A4" s="20" t="inlineStr">
        <is>
          <t>Metric</t>
        </is>
      </c>
      <c r="B4" s="20" t="inlineStr">
        <is>
          <t>FY2022A</t>
        </is>
      </c>
      <c r="C4" s="20" t="inlineStr">
        <is>
          <t>FY2023A</t>
        </is>
      </c>
      <c r="D4" s="20" t="inlineStr">
        <is>
          <t>FY2024A</t>
        </is>
      </c>
      <c r="E4" s="20" t="inlineStr">
        <is>
          <t>Q1 2025A</t>
        </is>
      </c>
      <c r="F4" s="20" t="inlineStr">
        <is>
          <t>Q2 2025E</t>
        </is>
      </c>
      <c r="G4" s="20" t="inlineStr">
        <is>
          <t>FY2025E</t>
        </is>
      </c>
    </row>
    <row r="5">
      <c r="A5" s="24" t="inlineStr">
        <is>
          <t>Revenue</t>
        </is>
      </c>
      <c r="B5" s="25" t="n">
        <v>16</v>
      </c>
      <c r="C5" s="25" t="n">
        <v>229</v>
      </c>
      <c r="D5" s="25" t="n">
        <v>1915</v>
      </c>
      <c r="E5" s="25" t="n">
        <v>982</v>
      </c>
      <c r="F5" s="25" t="n">
        <v>1150</v>
      </c>
      <c r="G5" s="25" t="n">
        <v>4200</v>
      </c>
    </row>
    <row r="6">
      <c r="A6" s="12" t="inlineStr">
        <is>
          <t>YoY Growth</t>
        </is>
      </c>
      <c r="B6" s="7" t="inlineStr">
        <is>
          <t>—</t>
        </is>
      </c>
      <c r="C6" s="7" t="inlineStr">
        <is>
          <t>1331%</t>
        </is>
      </c>
      <c r="D6" s="7" t="inlineStr">
        <is>
          <t>736%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~119%</t>
        </is>
      </c>
    </row>
    <row r="7">
      <c r="A7" s="24" t="inlineStr">
        <is>
          <t>Gross Profit</t>
        </is>
      </c>
      <c r="B7" s="25" t="n">
        <v>5</v>
      </c>
      <c r="C7" s="25" t="n">
        <v>97</v>
      </c>
      <c r="D7" s="25" t="n">
        <v>900</v>
      </c>
      <c r="E7" s="25" t="n">
        <v>510</v>
      </c>
      <c r="F7" s="25" t="n">
        <v>598</v>
      </c>
      <c r="G7" s="25" t="n">
        <v>2184</v>
      </c>
    </row>
    <row r="8">
      <c r="A8" s="26" t="inlineStr">
        <is>
          <t>Gross Margin</t>
        </is>
      </c>
      <c r="B8" s="27" t="inlineStr">
        <is>
          <t>30.5%</t>
        </is>
      </c>
      <c r="C8" s="27" t="inlineStr">
        <is>
          <t>42.4%</t>
        </is>
      </c>
      <c r="D8" s="27" t="inlineStr">
        <is>
          <t>47.0%</t>
        </is>
      </c>
      <c r="E8" s="27" t="inlineStr">
        <is>
          <t>52.0%</t>
        </is>
      </c>
      <c r="F8" s="27" t="inlineStr">
        <is>
          <t>52.0%</t>
        </is>
      </c>
      <c r="G8" s="27" t="inlineStr">
        <is>
          <t>52.0%</t>
        </is>
      </c>
    </row>
    <row r="9">
      <c r="A9" s="9" t="inlineStr">
        <is>
          <t>R&amp;D</t>
        </is>
      </c>
      <c r="B9" s="28" t="n">
        <v>-12</v>
      </c>
      <c r="C9" s="28" t="n">
        <v>-35</v>
      </c>
      <c r="D9" s="28" t="n">
        <v>-120</v>
      </c>
      <c r="E9" s="28" t="n">
        <v>-55</v>
      </c>
      <c r="F9" s="28" t="n">
        <v>-60</v>
      </c>
      <c r="G9" s="28" t="n">
        <v>-230</v>
      </c>
    </row>
    <row r="10">
      <c r="A10" s="12" t="inlineStr">
        <is>
          <t>Sales &amp; Marketing</t>
        </is>
      </c>
      <c r="B10" s="29" t="n">
        <v>-8</v>
      </c>
      <c r="C10" s="29" t="n">
        <v>-22</v>
      </c>
      <c r="D10" s="29" t="n">
        <v>-85</v>
      </c>
      <c r="E10" s="29" t="n">
        <v>-38</v>
      </c>
      <c r="F10" s="29" t="n">
        <v>-42</v>
      </c>
      <c r="G10" s="29" t="n">
        <v>-165</v>
      </c>
    </row>
    <row r="11">
      <c r="A11" s="9" t="inlineStr">
        <is>
          <t>G&amp;A</t>
        </is>
      </c>
      <c r="B11" s="28" t="n">
        <v>-15</v>
      </c>
      <c r="C11" s="28" t="n">
        <v>-45</v>
      </c>
      <c r="D11" s="28" t="n">
        <v>-185</v>
      </c>
      <c r="E11" s="28" t="n">
        <v>-75</v>
      </c>
      <c r="F11" s="28" t="n">
        <v>-80</v>
      </c>
      <c r="G11" s="28" t="n">
        <v>-310</v>
      </c>
    </row>
    <row r="12">
      <c r="A12" s="26" t="inlineStr">
        <is>
          <t>EBITDA</t>
        </is>
      </c>
      <c r="B12" s="29" t="n">
        <v>-35</v>
      </c>
      <c r="C12" s="29" t="n">
        <v>-5</v>
      </c>
      <c r="D12" s="30" t="n">
        <v>510</v>
      </c>
      <c r="E12" s="30" t="n">
        <v>342</v>
      </c>
      <c r="F12" s="30" t="n">
        <v>416</v>
      </c>
      <c r="G12" s="30" t="n">
        <v>1479</v>
      </c>
    </row>
    <row r="13">
      <c r="A13" s="24" t="inlineStr">
        <is>
          <t>EBITDA Margin</t>
        </is>
      </c>
      <c r="B13" s="31" t="inlineStr">
        <is>
          <t>nm</t>
        </is>
      </c>
      <c r="C13" s="31" t="inlineStr">
        <is>
          <t>nm</t>
        </is>
      </c>
      <c r="D13" s="31" t="inlineStr">
        <is>
          <t>26.6%</t>
        </is>
      </c>
      <c r="E13" s="31" t="inlineStr">
        <is>
          <t>34.8%</t>
        </is>
      </c>
      <c r="F13" s="31" t="inlineStr">
        <is>
          <t>36.2%</t>
        </is>
      </c>
      <c r="G13" s="31" t="inlineStr">
        <is>
          <t>35.2%</t>
        </is>
      </c>
    </row>
    <row r="14">
      <c r="A14" s="12" t="inlineStr">
        <is>
          <t>D&amp;A (GPU fleet)</t>
        </is>
      </c>
      <c r="B14" s="29" t="n">
        <v>-12</v>
      </c>
      <c r="C14" s="29" t="n">
        <v>-85</v>
      </c>
      <c r="D14" s="29" t="n">
        <v>-1380</v>
      </c>
      <c r="E14" s="29" t="n">
        <v>-400</v>
      </c>
      <c r="F14" s="29" t="n">
        <v>-450</v>
      </c>
      <c r="G14" s="29" t="n">
        <v>-1700</v>
      </c>
    </row>
    <row r="15">
      <c r="A15" s="9" t="inlineStr">
        <is>
          <t>EBIT (after D&amp;A)</t>
        </is>
      </c>
      <c r="B15" s="28" t="n">
        <v>-47</v>
      </c>
      <c r="C15" s="28" t="n">
        <v>-90</v>
      </c>
      <c r="D15" s="28" t="n">
        <v>-870</v>
      </c>
      <c r="E15" s="28" t="n">
        <v>-58</v>
      </c>
      <c r="F15" s="28" t="n">
        <v>-34</v>
      </c>
      <c r="G15" s="28" t="n">
        <v>-221</v>
      </c>
    </row>
    <row r="16">
      <c r="A16" s="12" t="inlineStr">
        <is>
          <t>Interest Expense</t>
        </is>
      </c>
      <c r="B16" s="29" t="n">
        <v>-5</v>
      </c>
      <c r="C16" s="29" t="n">
        <v>-45</v>
      </c>
      <c r="D16" s="29" t="n">
        <v>-530</v>
      </c>
      <c r="E16" s="29" t="n">
        <v>-180</v>
      </c>
      <c r="F16" s="29" t="n">
        <v>-190</v>
      </c>
      <c r="G16" s="29" t="n">
        <v>-730</v>
      </c>
    </row>
    <row r="17">
      <c r="A17" s="24" t="inlineStr">
        <is>
          <t>Net Income</t>
        </is>
      </c>
      <c r="B17" s="28" t="n">
        <v>-52</v>
      </c>
      <c r="C17" s="28" t="n">
        <v>-135</v>
      </c>
      <c r="D17" s="28" t="n">
        <v>-1400</v>
      </c>
      <c r="E17" s="28" t="n">
        <v>-238</v>
      </c>
      <c r="F17" s="28" t="n">
        <v>-224</v>
      </c>
      <c r="G17" s="28" t="n">
        <v>-951</v>
      </c>
    </row>
    <row r="18">
      <c r="A18" s="12" t="inlineStr">
        <is>
          <t>Net Margin</t>
        </is>
      </c>
      <c r="B18" s="7" t="inlineStr">
        <is>
          <t>nm</t>
        </is>
      </c>
      <c r="C18" s="7" t="inlineStr">
        <is>
          <t>nm</t>
        </is>
      </c>
      <c r="D18" s="7" t="inlineStr">
        <is>
          <t>nm</t>
        </is>
      </c>
      <c r="E18" s="7" t="inlineStr">
        <is>
          <t>nm</t>
        </is>
      </c>
      <c r="F18" s="7" t="inlineStr">
        <is>
          <t>nm</t>
        </is>
      </c>
      <c r="G18" s="7" t="inlineStr">
        <is>
          <t>nm</t>
        </is>
      </c>
    </row>
    <row r="19">
      <c r="A19" s="9" t="inlineStr">
        <is>
          <t>EPS (diluted)</t>
        </is>
      </c>
      <c r="B19" s="6" t="inlineStr">
        <is>
          <t>nm</t>
        </is>
      </c>
      <c r="C19" s="6" t="inlineStr">
        <is>
          <t>($1.71)</t>
        </is>
      </c>
      <c r="D19" s="6" t="inlineStr">
        <is>
          <t>($2.08)</t>
        </is>
      </c>
      <c r="E19" s="6" t="inlineStr">
        <is>
          <t>($0.57)</t>
        </is>
      </c>
      <c r="F19" s="6" t="inlineStr">
        <is>
          <t>($0.54)</t>
        </is>
      </c>
      <c r="G19" s="6" t="inlineStr">
        <is>
          <t>($2.29)</t>
        </is>
      </c>
    </row>
    <row r="21">
      <c r="A21" s="4" t="inlineStr">
        <is>
          <t xml:space="preserve">  KEY PERFORMANCE METRICS</t>
        </is>
      </c>
    </row>
    <row r="22">
      <c r="A22" s="20" t="inlineStr">
        <is>
          <t>Metric</t>
        </is>
      </c>
      <c r="B22" s="20" t="inlineStr">
        <is>
          <t>FY2022A</t>
        </is>
      </c>
      <c r="C22" s="20" t="inlineStr">
        <is>
          <t>FY2023A</t>
        </is>
      </c>
      <c r="D22" s="20" t="inlineStr">
        <is>
          <t>FY2024A</t>
        </is>
      </c>
      <c r="E22" s="20" t="inlineStr">
        <is>
          <t>FY2025E</t>
        </is>
      </c>
      <c r="F22" s="20" t="inlineStr">
        <is>
          <t>FY2026E</t>
        </is>
      </c>
      <c r="G22" s="20" t="inlineStr">
        <is>
          <t>FY2027E</t>
        </is>
      </c>
    </row>
    <row r="23">
      <c r="A23" s="24" t="inlineStr">
        <is>
          <t>Gross Margin</t>
        </is>
      </c>
      <c r="B23" s="6" t="inlineStr">
        <is>
          <t>30.5%</t>
        </is>
      </c>
      <c r="C23" s="6" t="inlineStr">
        <is>
          <t>42.4%</t>
        </is>
      </c>
      <c r="D23" s="6" t="inlineStr">
        <is>
          <t>47.0%</t>
        </is>
      </c>
      <c r="E23" s="6" t="inlineStr">
        <is>
          <t>52.0%</t>
        </is>
      </c>
      <c r="F23" s="6" t="inlineStr">
        <is>
          <t>55.0%</t>
        </is>
      </c>
      <c r="G23" s="6" t="inlineStr">
        <is>
          <t>57.0%</t>
        </is>
      </c>
    </row>
    <row r="24">
      <c r="A24" s="26" t="inlineStr">
        <is>
          <t>EBITDA Margin</t>
        </is>
      </c>
      <c r="B24" s="7" t="inlineStr">
        <is>
          <t>nm</t>
        </is>
      </c>
      <c r="C24" s="7" t="inlineStr">
        <is>
          <t>nm</t>
        </is>
      </c>
      <c r="D24" s="7" t="inlineStr">
        <is>
          <t>26.6%</t>
        </is>
      </c>
      <c r="E24" s="7" t="inlineStr">
        <is>
          <t>35.2%</t>
        </is>
      </c>
      <c r="F24" s="7" t="inlineStr">
        <is>
          <t>42.0%</t>
        </is>
      </c>
      <c r="G24" s="7" t="inlineStr">
        <is>
          <t>46.0%</t>
        </is>
      </c>
    </row>
    <row r="25">
      <c r="A25" s="24" t="inlineStr">
        <is>
          <t>Capex ($M)</t>
        </is>
      </c>
      <c r="B25" s="6" t="inlineStr">
        <is>
          <t>-200</t>
        </is>
      </c>
      <c r="C25" s="6" t="inlineStr">
        <is>
          <t>-1,800</t>
        </is>
      </c>
      <c r="D25" s="6" t="inlineStr">
        <is>
          <t>-7,000</t>
        </is>
      </c>
      <c r="E25" s="6" t="inlineStr">
        <is>
          <t>-10,000</t>
        </is>
      </c>
      <c r="F25" s="6" t="inlineStr">
        <is>
          <t>-8,000</t>
        </is>
      </c>
      <c r="G25" s="6" t="inlineStr">
        <is>
          <t>-6,000</t>
        </is>
      </c>
    </row>
    <row r="26">
      <c r="A26" s="26" t="inlineStr">
        <is>
          <t>Total Debt ($M)</t>
        </is>
      </c>
      <c r="B26" s="7" t="inlineStr">
        <is>
          <t>800</t>
        </is>
      </c>
      <c r="C26" s="7" t="inlineStr">
        <is>
          <t>3,200</t>
        </is>
      </c>
      <c r="D26" s="7" t="inlineStr">
        <is>
          <t>8,900</t>
        </is>
      </c>
      <c r="E26" s="7" t="inlineStr">
        <is>
          <t>12,000</t>
        </is>
      </c>
      <c r="F26" s="7" t="inlineStr">
        <is>
          <t>11,000</t>
        </is>
      </c>
      <c r="G26" s="7" t="inlineStr">
        <is>
          <t>9,500</t>
        </is>
      </c>
    </row>
    <row r="27">
      <c r="A27" s="24" t="inlineStr">
        <is>
          <t>Net Debt ($M)</t>
        </is>
      </c>
      <c r="B27" s="6" t="inlineStr">
        <is>
          <t>650</t>
        </is>
      </c>
      <c r="C27" s="6" t="inlineStr">
        <is>
          <t>2,820</t>
        </is>
      </c>
      <c r="D27" s="6" t="inlineStr">
        <is>
          <t>7,500</t>
        </is>
      </c>
      <c r="E27" s="6" t="inlineStr">
        <is>
          <t>10,200</t>
        </is>
      </c>
      <c r="F27" s="6" t="inlineStr">
        <is>
          <t>9,200</t>
        </is>
      </c>
      <c r="G27" s="6" t="inlineStr">
        <is>
          <t>7,500</t>
        </is>
      </c>
    </row>
    <row r="28">
      <c r="A28" s="26" t="inlineStr">
        <is>
          <t>Backlog ($B)</t>
        </is>
      </c>
      <c r="B28" s="7" t="inlineStr">
        <is>
          <t>n/a</t>
        </is>
      </c>
      <c r="C28" s="7" t="inlineStr">
        <is>
          <t>~5</t>
        </is>
      </c>
      <c r="D28" s="7" t="inlineStr">
        <is>
          <t>~16</t>
        </is>
      </c>
      <c r="E28" s="7" t="inlineStr">
        <is>
          <t>~23</t>
        </is>
      </c>
      <c r="F28" s="7" t="inlineStr">
        <is>
          <t>~28</t>
        </is>
      </c>
      <c r="G28" s="7" t="inlineStr">
        <is>
          <t>~32</t>
        </is>
      </c>
    </row>
    <row r="30">
      <c r="A30" s="4" t="inlineStr">
        <is>
          <t xml:space="preserve">  QUARTERLY EARNINGS HISTORY</t>
        </is>
      </c>
    </row>
    <row r="31">
      <c r="A31" s="20" t="inlineStr">
        <is>
          <t>Quarter</t>
        </is>
      </c>
      <c r="B31" s="20" t="inlineStr">
        <is>
          <t>Revenue</t>
        </is>
      </c>
      <c r="C31" s="20" t="inlineStr">
        <is>
          <t>Consensus</t>
        </is>
      </c>
      <c r="D31" s="20" t="inlineStr">
        <is>
          <t>Beat/Miss</t>
        </is>
      </c>
      <c r="E31" s="20" t="inlineStr">
        <is>
          <t>EPS</t>
        </is>
      </c>
      <c r="F31" s="20" t="inlineStr">
        <is>
          <t>Consensus</t>
        </is>
      </c>
      <c r="G31" s="20" t="inlineStr">
        <is>
          <t>Beat/Miss</t>
        </is>
      </c>
      <c r="H31" s="20" t="inlineStr">
        <is>
          <t>Key Note</t>
        </is>
      </c>
    </row>
    <row r="32">
      <c r="A32" s="27" t="inlineStr">
        <is>
          <t>Q2 2024A</t>
        </is>
      </c>
      <c r="B32" s="7" t="inlineStr">
        <is>
          <t>$395M</t>
        </is>
      </c>
      <c r="C32" s="7" t="inlineStr">
        <is>
          <t>$310M</t>
        </is>
      </c>
      <c r="D32" s="11" t="inlineStr">
        <is>
          <t>+27.4% BEAT</t>
        </is>
      </c>
      <c r="E32" s="7" t="inlineStr">
        <is>
          <t>$(0.35)</t>
        </is>
      </c>
      <c r="F32" s="7" t="inlineStr">
        <is>
          <t>$(0.42)</t>
        </is>
      </c>
      <c r="G32" s="11" t="inlineStr">
        <is>
          <t>BEAT</t>
        </is>
      </c>
      <c r="H32" s="7" t="inlineStr">
        <is>
          <t>First major quarter</t>
        </is>
      </c>
    </row>
    <row r="33">
      <c r="A33" s="31" t="inlineStr">
        <is>
          <t>Q3 2024A</t>
        </is>
      </c>
      <c r="B33" s="6" t="inlineStr">
        <is>
          <t>$509M</t>
        </is>
      </c>
      <c r="C33" s="6" t="inlineStr">
        <is>
          <t>$460M</t>
        </is>
      </c>
      <c r="D33" s="8" t="inlineStr">
        <is>
          <t>+10.7% BEAT</t>
        </is>
      </c>
      <c r="E33" s="6" t="inlineStr">
        <is>
          <t>$(0.62)</t>
        </is>
      </c>
      <c r="F33" s="6" t="inlineStr">
        <is>
          <t>$(0.58)</t>
        </is>
      </c>
      <c r="G33" s="13" t="inlineStr">
        <is>
          <t>MISS</t>
        </is>
      </c>
      <c r="H33" s="6" t="inlineStr">
        <is>
          <t>Interest expense surge</t>
        </is>
      </c>
    </row>
    <row r="34">
      <c r="A34" s="27" t="inlineStr">
        <is>
          <t>Q4 2024A</t>
        </is>
      </c>
      <c r="B34" s="7" t="inlineStr">
        <is>
          <t>$789M</t>
        </is>
      </c>
      <c r="C34" s="7" t="inlineStr">
        <is>
          <t>$720M</t>
        </is>
      </c>
      <c r="D34" s="11" t="inlineStr">
        <is>
          <t>+9.6% BEAT</t>
        </is>
      </c>
      <c r="E34" s="7" t="inlineStr">
        <is>
          <t>$(0.76)</t>
        </is>
      </c>
      <c r="F34" s="7" t="inlineStr">
        <is>
          <t>$(0.71)</t>
        </is>
      </c>
      <c r="G34" s="32" t="inlineStr">
        <is>
          <t>MISS</t>
        </is>
      </c>
      <c r="H34" s="7" t="inlineStr">
        <is>
          <t>Guidance raised</t>
        </is>
      </c>
    </row>
    <row r="35">
      <c r="A35" s="31" t="inlineStr">
        <is>
          <t>Q1 2025A</t>
        </is>
      </c>
      <c r="B35" s="6" t="inlineStr">
        <is>
          <t>$982M</t>
        </is>
      </c>
      <c r="C35" s="6" t="inlineStr">
        <is>
          <t>$853M</t>
        </is>
      </c>
      <c r="D35" s="8" t="inlineStr">
        <is>
          <t>+15.1% BEAT</t>
        </is>
      </c>
      <c r="E35" s="6" t="inlineStr">
        <is>
          <t>$(0.57)</t>
        </is>
      </c>
      <c r="F35" s="6" t="inlineStr">
        <is>
          <t>$(0.68)</t>
        </is>
      </c>
      <c r="G35" s="8" t="inlineStr">
        <is>
          <t>BEAT</t>
        </is>
      </c>
      <c r="H35" s="6" t="inlineStr">
        <is>
          <t>Record Q, guidance raise</t>
        </is>
      </c>
    </row>
    <row r="39">
      <c r="I39" t="inlineStr">
        <is>
          <t>FY22A</t>
        </is>
      </c>
      <c r="J39" t="n">
        <v>16</v>
      </c>
    </row>
    <row r="40">
      <c r="I40" t="inlineStr">
        <is>
          <t>FY23A</t>
        </is>
      </c>
      <c r="J40" t="n">
        <v>229</v>
      </c>
    </row>
    <row r="41">
      <c r="I41" t="inlineStr">
        <is>
          <t>FY24A</t>
        </is>
      </c>
      <c r="J41" t="n">
        <v>1915</v>
      </c>
    </row>
    <row r="42">
      <c r="I42" t="inlineStr">
        <is>
          <t>FY25E</t>
        </is>
      </c>
      <c r="J42" t="n">
        <v>4200</v>
      </c>
    </row>
    <row r="43">
      <c r="I43" t="inlineStr">
        <is>
          <t>FY26E</t>
        </is>
      </c>
      <c r="J43" t="n">
        <v>7500</v>
      </c>
    </row>
    <row r="44">
      <c r="I44" t="inlineStr">
        <is>
          <t>FY27E</t>
        </is>
      </c>
      <c r="J44" t="n">
        <v>11000</v>
      </c>
    </row>
    <row r="58">
      <c r="A58" s="19" t="inlineStr">
        <is>
          <t>CoreWeave (CRWV) | Equity Research | Sentinel Investment | June 10, 2026 | Confidential</t>
        </is>
      </c>
    </row>
  </sheetData>
  <mergeCells count="4">
    <mergeCell ref="A21:G21"/>
    <mergeCell ref="A3:H3"/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8B84B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28" customWidth="1" min="5" max="5"/>
    <col width="24" customWidth="1" min="6" max="6"/>
  </cols>
  <sheetData>
    <row r="1">
      <c r="A1" s="1" t="inlineStr">
        <is>
          <t xml:space="preserve">  INVESTMENT THESIS, CATALYSTS &amp; RISKS</t>
        </is>
      </c>
    </row>
    <row r="3">
      <c r="A3" s="4" t="inlineStr">
        <is>
          <t xml:space="preserve">  SCENARIO ANALYSIS</t>
        </is>
      </c>
    </row>
    <row r="4">
      <c r="A4" s="20" t="inlineStr"/>
      <c r="B4" s="33" t="inlineStr">
        <is>
          <t>BULL (30%)</t>
        </is>
      </c>
      <c r="C4" s="34" t="inlineStr">
        <is>
          <t>BASE (50%)</t>
        </is>
      </c>
      <c r="D4" s="35" t="inlineStr">
        <is>
          <t>BEAR (20%)</t>
        </is>
      </c>
    </row>
    <row r="5">
      <c r="A5" s="24" t="inlineStr">
        <is>
          <t>2026E Revenue</t>
        </is>
      </c>
      <c r="B5" s="22" t="inlineStr">
        <is>
          <t>$9,500M</t>
        </is>
      </c>
      <c r="C5" s="36" t="inlineStr">
        <is>
          <t>$7,500M</t>
        </is>
      </c>
      <c r="D5" s="37" t="inlineStr">
        <is>
          <t>$4,500M</t>
        </is>
      </c>
    </row>
    <row r="6">
      <c r="A6" s="26" t="inlineStr">
        <is>
          <t>2026E Gross Margin</t>
        </is>
      </c>
      <c r="B6" s="23" t="inlineStr">
        <is>
          <t>58%</t>
        </is>
      </c>
      <c r="C6" s="38" t="inlineStr">
        <is>
          <t>55%</t>
        </is>
      </c>
      <c r="D6" s="39" t="inlineStr">
        <is>
          <t>48%</t>
        </is>
      </c>
    </row>
    <row r="7">
      <c r="A7" s="24" t="inlineStr">
        <is>
          <t>EV/Rev Multiple</t>
        </is>
      </c>
      <c r="B7" s="22" t="inlineStr">
        <is>
          <t>7.5x</t>
        </is>
      </c>
      <c r="C7" s="36" t="inlineStr">
        <is>
          <t>6.7x</t>
        </is>
      </c>
      <c r="D7" s="37" t="inlineStr">
        <is>
          <t>3.5x</t>
        </is>
      </c>
    </row>
    <row r="8">
      <c r="A8" s="26" t="inlineStr">
        <is>
          <t>Enterprise Value</t>
        </is>
      </c>
      <c r="B8" s="23" t="inlineStr">
        <is>
          <t>$71B</t>
        </is>
      </c>
      <c r="C8" s="38" t="inlineStr">
        <is>
          <t>$50B</t>
        </is>
      </c>
      <c r="D8" s="39" t="inlineStr">
        <is>
          <t>$16B</t>
        </is>
      </c>
    </row>
    <row r="9">
      <c r="A9" s="24" t="inlineStr">
        <is>
          <t>Equity Value</t>
        </is>
      </c>
      <c r="B9" s="22" t="inlineStr">
        <is>
          <t>$63B</t>
        </is>
      </c>
      <c r="C9" s="36" t="inlineStr">
        <is>
          <t>$42B</t>
        </is>
      </c>
      <c r="D9" s="37" t="inlineStr">
        <is>
          <t>$6B</t>
        </is>
      </c>
    </row>
    <row r="10">
      <c r="A10" s="26" t="inlineStr">
        <is>
          <t>Price Target</t>
        </is>
      </c>
      <c r="B10" s="23" t="inlineStr">
        <is>
          <t>$180</t>
        </is>
      </c>
      <c r="C10" s="38" t="inlineStr">
        <is>
          <t>$125</t>
        </is>
      </c>
      <c r="D10" s="39" t="inlineStr">
        <is>
          <t>$55</t>
        </is>
      </c>
    </row>
    <row r="11">
      <c r="A11" s="24" t="inlineStr">
        <is>
          <t>Key Assumption</t>
        </is>
      </c>
      <c r="B11" s="22" t="inlineStr">
        <is>
          <t>MSFT expands + new hyperscaler</t>
        </is>
      </c>
      <c r="C11" s="36" t="inlineStr">
        <is>
          <t>Steady backlog execution</t>
        </is>
      </c>
      <c r="D11" s="37" t="inlineStr">
        <is>
          <t>Customer loss + AI slowdown</t>
        </is>
      </c>
    </row>
    <row r="13">
      <c r="A13" s="4" t="inlineStr">
        <is>
          <t xml:space="preserve">  12-MONTH CATALYST TIMELINE</t>
        </is>
      </c>
    </row>
    <row r="14">
      <c r="A14" s="20" t="inlineStr">
        <is>
          <t>Date</t>
        </is>
      </c>
      <c r="B14" s="20" t="inlineStr">
        <is>
          <t>Catalyst</t>
        </is>
      </c>
      <c r="C14" s="20" t="inlineStr">
        <is>
          <t>Impact</t>
        </is>
      </c>
      <c r="D14" s="20" t="inlineStr">
        <is>
          <t>Probability</t>
        </is>
      </c>
      <c r="E14" s="20" t="inlineStr">
        <is>
          <t>Direction</t>
        </is>
      </c>
      <c r="F14" s="20" t="inlineStr">
        <is>
          <t>Action</t>
        </is>
      </c>
    </row>
    <row r="15">
      <c r="A15" s="31" t="inlineStr">
        <is>
          <t>Aug 2025</t>
        </is>
      </c>
      <c r="B15" s="9" t="inlineStr">
        <is>
          <t>Q2 2025 Earnings</t>
        </is>
      </c>
      <c r="C15" s="6" t="inlineStr">
        <is>
          <t>±15%</t>
        </is>
      </c>
      <c r="D15" s="6" t="inlineStr">
        <is>
          <t>High</t>
        </is>
      </c>
      <c r="E15" s="22" t="inlineStr">
        <is>
          <t>Bullish bias</t>
        </is>
      </c>
      <c r="F15" s="6" t="inlineStr">
        <is>
          <t>Hold/Add</t>
        </is>
      </c>
    </row>
    <row r="16">
      <c r="A16" s="27" t="inlineStr">
        <is>
          <t>Sep 2025</t>
        </is>
      </c>
      <c r="B16" s="12" t="inlineStr">
        <is>
          <t>Blackwell GPU deployment announcement</t>
        </is>
      </c>
      <c r="C16" s="7" t="inlineStr">
        <is>
          <t>+10-20%</t>
        </is>
      </c>
      <c r="D16" s="7" t="inlineStr">
        <is>
          <t>High</t>
        </is>
      </c>
      <c r="E16" s="23" t="inlineStr">
        <is>
          <t>Bullish</t>
        </is>
      </c>
      <c r="F16" s="7" t="inlineStr">
        <is>
          <t>Hold</t>
        </is>
      </c>
    </row>
    <row r="17">
      <c r="A17" s="31" t="inlineStr">
        <is>
          <t>Oct 2025</t>
        </is>
      </c>
      <c r="B17" s="9" t="inlineStr">
        <is>
          <t>New enterprise customer wins</t>
        </is>
      </c>
      <c r="C17" s="6" t="inlineStr">
        <is>
          <t>+5-15%</t>
        </is>
      </c>
      <c r="D17" s="6" t="inlineStr">
        <is>
          <t>Medium</t>
        </is>
      </c>
      <c r="E17" s="22" t="inlineStr">
        <is>
          <t>Bullish</t>
        </is>
      </c>
      <c r="F17" s="6" t="inlineStr">
        <is>
          <t>Add on news</t>
        </is>
      </c>
    </row>
    <row r="18">
      <c r="A18" s="27" t="inlineStr">
        <is>
          <t>Nov 2025</t>
        </is>
      </c>
      <c r="B18" s="12" t="inlineStr">
        <is>
          <t>Q3 2025 Earnings</t>
        </is>
      </c>
      <c r="C18" s="7" t="inlineStr">
        <is>
          <t>±12%</t>
        </is>
      </c>
      <c r="D18" s="7" t="inlineStr">
        <is>
          <t>High</t>
        </is>
      </c>
      <c r="E18" s="38" t="inlineStr">
        <is>
          <t>Neutral</t>
        </is>
      </c>
      <c r="F18" s="7" t="inlineStr">
        <is>
          <t>Monitor</t>
        </is>
      </c>
    </row>
    <row r="19">
      <c r="A19" s="31" t="inlineStr">
        <is>
          <t>Dec 2025</t>
        </is>
      </c>
      <c r="B19" s="9" t="inlineStr">
        <is>
          <t>Microsoft contract renewal/expansion</t>
        </is>
      </c>
      <c r="C19" s="6" t="inlineStr">
        <is>
          <t>+15-25%</t>
        </is>
      </c>
      <c r="D19" s="6" t="inlineStr">
        <is>
          <t>Med-High</t>
        </is>
      </c>
      <c r="E19" s="22" t="inlineStr">
        <is>
          <t>Bullish</t>
        </is>
      </c>
      <c r="F19" s="6" t="inlineStr">
        <is>
          <t>Key catalyst</t>
        </is>
      </c>
    </row>
    <row r="20">
      <c r="A20" s="27" t="inlineStr">
        <is>
          <t>Jan 2026</t>
        </is>
      </c>
      <c r="B20" s="12" t="inlineStr">
        <is>
          <t>Backlog update announcement</t>
        </is>
      </c>
      <c r="C20" s="7" t="inlineStr">
        <is>
          <t>+10%</t>
        </is>
      </c>
      <c r="D20" s="7" t="inlineStr">
        <is>
          <t>Medium</t>
        </is>
      </c>
      <c r="E20" s="23" t="inlineStr">
        <is>
          <t>Bullish</t>
        </is>
      </c>
      <c r="F20" s="7" t="inlineStr">
        <is>
          <t>Monitor</t>
        </is>
      </c>
    </row>
    <row r="21">
      <c r="A21" s="31" t="inlineStr">
        <is>
          <t>Feb 2026</t>
        </is>
      </c>
      <c r="B21" s="9" t="inlineStr">
        <is>
          <t>Q4 2025 + FY2026 guidance</t>
        </is>
      </c>
      <c r="C21" s="6" t="inlineStr">
        <is>
          <t>±15%</t>
        </is>
      </c>
      <c r="D21" s="6" t="inlineStr">
        <is>
          <t>High</t>
        </is>
      </c>
      <c r="E21" s="22" t="inlineStr">
        <is>
          <t>Bullish bias</t>
        </is>
      </c>
      <c r="F21" s="6" t="inlineStr">
        <is>
          <t>Key date</t>
        </is>
      </c>
    </row>
    <row r="22">
      <c r="A22" s="27" t="inlineStr">
        <is>
          <t>Mar 2026</t>
        </is>
      </c>
      <c r="B22" s="12" t="inlineStr">
        <is>
          <t>IPO lockup expiry (1yr)</t>
        </is>
      </c>
      <c r="C22" s="7" t="inlineStr">
        <is>
          <t>-5-10%</t>
        </is>
      </c>
      <c r="D22" s="7" t="inlineStr">
        <is>
          <t>High</t>
        </is>
      </c>
      <c r="E22" s="39" t="inlineStr">
        <is>
          <t>Bearish</t>
        </is>
      </c>
      <c r="F22" s="7" t="inlineStr">
        <is>
          <t>Reduce risk</t>
        </is>
      </c>
    </row>
    <row r="23">
      <c r="A23" s="31" t="inlineStr">
        <is>
          <t>May 2026</t>
        </is>
      </c>
      <c r="B23" s="9" t="inlineStr">
        <is>
          <t>Q1 2026 Earnings</t>
        </is>
      </c>
      <c r="C23" s="6" t="inlineStr">
        <is>
          <t>±12%</t>
        </is>
      </c>
      <c r="D23" s="6" t="inlineStr">
        <is>
          <t>High</t>
        </is>
      </c>
      <c r="E23" s="36" t="inlineStr">
        <is>
          <t>Neutral</t>
        </is>
      </c>
      <c r="F23" s="6" t="inlineStr">
        <is>
          <t>Monitor</t>
        </is>
      </c>
    </row>
    <row r="24">
      <c r="A24" s="27" t="inlineStr">
        <is>
          <t>Jun 2026</t>
        </is>
      </c>
      <c r="B24" s="12" t="inlineStr">
        <is>
          <t>CPI/Macro tailwind</t>
        </is>
      </c>
      <c r="C24" s="7" t="inlineStr">
        <is>
          <t>+3-8%</t>
        </is>
      </c>
      <c r="D24" s="7" t="inlineStr">
        <is>
          <t>High</t>
        </is>
      </c>
      <c r="E24" s="23" t="inlineStr">
        <is>
          <t>Bullish</t>
        </is>
      </c>
      <c r="F24" s="7" t="inlineStr">
        <is>
          <t>Executed ✅</t>
        </is>
      </c>
    </row>
    <row r="26">
      <c r="A26" s="4" t="inlineStr">
        <is>
          <t xml:space="preserve">  RISK MATRIX</t>
        </is>
      </c>
    </row>
    <row r="27">
      <c r="A27" s="20" t="inlineStr">
        <is>
          <t>Risk Factor</t>
        </is>
      </c>
      <c r="B27" s="20" t="inlineStr">
        <is>
          <t>Severity</t>
        </is>
      </c>
      <c r="C27" s="20" t="inlineStr">
        <is>
          <t>Probability</t>
        </is>
      </c>
      <c r="D27" s="20" t="inlineStr">
        <is>
          <t>Score (1-10)</t>
        </is>
      </c>
      <c r="E27" s="20" t="inlineStr">
        <is>
          <t>Mitigation</t>
        </is>
      </c>
      <c r="F27" s="20" t="inlineStr">
        <is>
          <t>Monitor Signal</t>
        </is>
      </c>
    </row>
    <row r="28">
      <c r="A28" s="26" t="inlineStr">
        <is>
          <t>Customer Concentration (MSFT 62%)</t>
        </is>
      </c>
      <c r="B28" s="32" t="inlineStr">
        <is>
          <t>Critical</t>
        </is>
      </c>
      <c r="C28" s="7" t="inlineStr">
        <is>
          <t>Medium</t>
        </is>
      </c>
      <c r="D28" s="12" t="inlineStr">
        <is>
          <t>9/10</t>
        </is>
      </c>
      <c r="E28" s="12" t="inlineStr">
        <is>
          <t>Diversify to 5+ customers</t>
        </is>
      </c>
      <c r="F28" s="12" t="inlineStr">
        <is>
          <t>MSFT revenue %</t>
        </is>
      </c>
    </row>
    <row r="29">
      <c r="A29" s="24" t="inlineStr">
        <is>
          <t>Debt Burden ($9B+)</t>
        </is>
      </c>
      <c r="B29" s="40" t="inlineStr">
        <is>
          <t>High</t>
        </is>
      </c>
      <c r="C29" s="6" t="inlineStr">
        <is>
          <t>High</t>
        </is>
      </c>
      <c r="D29" s="9" t="inlineStr">
        <is>
          <t>8/10</t>
        </is>
      </c>
      <c r="E29" s="9" t="inlineStr">
        <is>
          <t>FCF positive 2027, refinancing</t>
        </is>
      </c>
      <c r="F29" s="9" t="inlineStr">
        <is>
          <t>Interest coverage ratio</t>
        </is>
      </c>
    </row>
    <row r="30">
      <c r="A30" s="26" t="inlineStr">
        <is>
          <t>Hyperscaler GPU Build-out</t>
        </is>
      </c>
      <c r="B30" s="41" t="inlineStr">
        <is>
          <t>High</t>
        </is>
      </c>
      <c r="C30" s="7" t="inlineStr">
        <is>
          <t>High</t>
        </is>
      </c>
      <c r="D30" s="12" t="inlineStr">
        <is>
          <t>7/10</t>
        </is>
      </c>
      <c r="E30" s="12" t="inlineStr">
        <is>
          <t>Long-term contracts protect</t>
        </is>
      </c>
      <c r="F30" s="12" t="inlineStr">
        <is>
          <t>AWS/GCP capex announcements</t>
        </is>
      </c>
    </row>
    <row r="31">
      <c r="A31" s="24" t="inlineStr">
        <is>
          <t>GPU Supply Chain</t>
        </is>
      </c>
      <c r="B31" s="40" t="inlineStr">
        <is>
          <t>High</t>
        </is>
      </c>
      <c r="C31" s="6" t="inlineStr">
        <is>
          <t>Medium</t>
        </is>
      </c>
      <c r="D31" s="9" t="inlineStr">
        <is>
          <t>7/10</t>
        </is>
      </c>
      <c r="E31" s="9" t="inlineStr">
        <is>
          <t>NVIDIA strategic partnership</t>
        </is>
      </c>
      <c r="F31" s="9" t="inlineStr">
        <is>
          <t>NVDA supply commentary</t>
        </is>
      </c>
    </row>
    <row r="32">
      <c r="A32" s="26" t="inlineStr">
        <is>
          <t>AI Spending Slowdown</t>
        </is>
      </c>
      <c r="B32" s="42" t="inlineStr">
        <is>
          <t>Medium</t>
        </is>
      </c>
      <c r="C32" s="7" t="inlineStr">
        <is>
          <t>Low</t>
        </is>
      </c>
      <c r="D32" s="12" t="inlineStr">
        <is>
          <t>6/10</t>
        </is>
      </c>
      <c r="E32" s="12" t="inlineStr">
        <is>
          <t>$23B+ contracted backlog</t>
        </is>
      </c>
      <c r="F32" s="12" t="inlineStr">
        <is>
          <t>Hyperscaler capex guidance</t>
        </is>
      </c>
    </row>
    <row r="33">
      <c r="A33" s="24" t="inlineStr">
        <is>
          <t>Lockup Expiry (Mar 2026)</t>
        </is>
      </c>
      <c r="B33" s="43" t="inlineStr">
        <is>
          <t>Medium</t>
        </is>
      </c>
      <c r="C33" s="6" t="inlineStr">
        <is>
          <t>High</t>
        </is>
      </c>
      <c r="D33" s="9" t="inlineStr">
        <is>
          <t>6/10</t>
        </is>
      </c>
      <c r="E33" s="9" t="inlineStr">
        <is>
          <t>Stagger position; buy dip</t>
        </is>
      </c>
      <c r="F33" s="9" t="inlineStr">
        <is>
          <t>March 2026 price action</t>
        </is>
      </c>
    </row>
    <row r="34">
      <c r="A34" s="26" t="inlineStr">
        <is>
          <t>Valuation Compression</t>
        </is>
      </c>
      <c r="B34" s="42" t="inlineStr">
        <is>
          <t>Medium</t>
        </is>
      </c>
      <c r="C34" s="7" t="inlineStr">
        <is>
          <t>Medium</t>
        </is>
      </c>
      <c r="D34" s="12" t="inlineStr">
        <is>
          <t>5/10</t>
        </is>
      </c>
      <c r="E34" s="12" t="inlineStr">
        <is>
          <t>Diversify exit multiples</t>
        </is>
      </c>
      <c r="F34" s="12" t="inlineStr">
        <is>
          <t>Peer EV/Rev multiples</t>
        </is>
      </c>
    </row>
    <row r="39">
      <c r="A39" s="19" t="inlineStr">
        <is>
          <t>CoreWeave (CRWV) | Equity Research | Sentinel Investment | June 10, 2026 | Confidential</t>
        </is>
      </c>
    </row>
  </sheetData>
  <mergeCells count="4">
    <mergeCell ref="A3:F3"/>
    <mergeCell ref="A26:F26"/>
    <mergeCell ref="A13:F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F8A"/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 xml:space="preserve">  3-STATEMENT FINANCIAL MODEL (USD Millions)</t>
        </is>
      </c>
    </row>
    <row r="3">
      <c r="A3" s="4" t="inlineStr">
        <is>
          <t xml:space="preserve">  ASSUMPTIONS</t>
        </is>
      </c>
    </row>
    <row r="4">
      <c r="A4" s="20" t="inlineStr">
        <is>
          <t>Assumption</t>
        </is>
      </c>
      <c r="B4" s="20" t="inlineStr">
        <is>
          <t>2025E</t>
        </is>
      </c>
      <c r="C4" s="20" t="inlineStr">
        <is>
          <t>2026E</t>
        </is>
      </c>
      <c r="D4" s="20" t="inlineStr">
        <is>
          <t>2027E</t>
        </is>
      </c>
      <c r="E4" s="20" t="inlineStr">
        <is>
          <t>2028E</t>
        </is>
      </c>
      <c r="F4" s="20" t="inlineStr">
        <is>
          <t>2029E</t>
        </is>
      </c>
      <c r="G4" s="20" t="inlineStr">
        <is>
          <t>Notes</t>
        </is>
      </c>
    </row>
    <row r="5">
      <c r="A5" s="24" t="inlineStr">
        <is>
          <t>Revenue Growth (%)</t>
        </is>
      </c>
      <c r="B5" s="44" t="inlineStr">
        <is>
          <t>119%</t>
        </is>
      </c>
      <c r="C5" s="44" t="inlineStr">
        <is>
          <t>79%</t>
        </is>
      </c>
      <c r="D5" s="44" t="inlineStr">
        <is>
          <t>47%</t>
        </is>
      </c>
      <c r="E5" s="44" t="inlineStr">
        <is>
          <t>32%</t>
        </is>
      </c>
      <c r="F5" s="44" t="inlineStr">
        <is>
          <t>21%</t>
        </is>
      </c>
      <c r="G5" s="6" t="inlineStr">
        <is>
          <t>AI cloud TAM expansion</t>
        </is>
      </c>
    </row>
    <row r="6">
      <c r="A6" s="26" t="inlineStr">
        <is>
          <t>Gross Margin</t>
        </is>
      </c>
      <c r="B6" s="45" t="inlineStr">
        <is>
          <t>52%</t>
        </is>
      </c>
      <c r="C6" s="45" t="inlineStr">
        <is>
          <t>55%</t>
        </is>
      </c>
      <c r="D6" s="45" t="inlineStr">
        <is>
          <t>57%</t>
        </is>
      </c>
      <c r="E6" s="45" t="inlineStr">
        <is>
          <t>58%</t>
        </is>
      </c>
      <c r="F6" s="45" t="inlineStr">
        <is>
          <t>59%</t>
        </is>
      </c>
      <c r="G6" s="7" t="inlineStr">
        <is>
          <t>Utilization + mix shift</t>
        </is>
      </c>
    </row>
    <row r="7">
      <c r="A7" s="24" t="inlineStr">
        <is>
          <t>R&amp;D % Revenue</t>
        </is>
      </c>
      <c r="B7" s="44" t="inlineStr">
        <is>
          <t>5.5%</t>
        </is>
      </c>
      <c r="C7" s="44" t="inlineStr">
        <is>
          <t>5.0%</t>
        </is>
      </c>
      <c r="D7" s="44" t="inlineStr">
        <is>
          <t>4.5%</t>
        </is>
      </c>
      <c r="E7" s="44" t="inlineStr">
        <is>
          <t>4.0%</t>
        </is>
      </c>
      <c r="F7" s="44" t="inlineStr">
        <is>
          <t>3.5%</t>
        </is>
      </c>
      <c r="G7" s="6" t="inlineStr">
        <is>
          <t>Leverage on scale</t>
        </is>
      </c>
    </row>
    <row r="8">
      <c r="A8" s="26" t="inlineStr">
        <is>
          <t>D&amp;A % Revenue</t>
        </is>
      </c>
      <c r="B8" s="45" t="inlineStr">
        <is>
          <t>40.5%</t>
        </is>
      </c>
      <c r="C8" s="45" t="inlineStr">
        <is>
          <t>38%</t>
        </is>
      </c>
      <c r="D8" s="45" t="inlineStr">
        <is>
          <t>35%</t>
        </is>
      </c>
      <c r="E8" s="45" t="inlineStr">
        <is>
          <t>32%</t>
        </is>
      </c>
      <c r="F8" s="45" t="inlineStr">
        <is>
          <t>28%</t>
        </is>
      </c>
      <c r="G8" s="7" t="inlineStr">
        <is>
          <t>GPU fleet depreciation</t>
        </is>
      </c>
    </row>
    <row r="9">
      <c r="A9" s="24" t="inlineStr">
        <is>
          <t>CapEx ($M)</t>
        </is>
      </c>
      <c r="B9" s="44" t="inlineStr">
        <is>
          <t>(10,000)</t>
        </is>
      </c>
      <c r="C9" s="44" t="inlineStr">
        <is>
          <t>(8,000)</t>
        </is>
      </c>
      <c r="D9" s="44" t="inlineStr">
        <is>
          <t>(6,000)</t>
        </is>
      </c>
      <c r="E9" s="44" t="inlineStr">
        <is>
          <t>(5,000)</t>
        </is>
      </c>
      <c r="F9" s="44" t="inlineStr">
        <is>
          <t>(4,000)</t>
        </is>
      </c>
      <c r="G9" s="6" t="inlineStr">
        <is>
          <t>GPU cluster build-out</t>
        </is>
      </c>
    </row>
    <row r="10">
      <c r="A10" s="26" t="inlineStr">
        <is>
          <t>Interest Rate on Debt</t>
        </is>
      </c>
      <c r="B10" s="45" t="inlineStr">
        <is>
          <t>8.5%</t>
        </is>
      </c>
      <c r="C10" s="45" t="inlineStr">
        <is>
          <t>8.0%</t>
        </is>
      </c>
      <c r="D10" s="45" t="inlineStr">
        <is>
          <t>7.5%</t>
        </is>
      </c>
      <c r="E10" s="45" t="inlineStr">
        <is>
          <t>7.0%</t>
        </is>
      </c>
      <c r="F10" s="45" t="inlineStr">
        <is>
          <t>6.5%</t>
        </is>
      </c>
      <c r="G10" s="7" t="inlineStr">
        <is>
          <t>Floating + fixed mix</t>
        </is>
      </c>
    </row>
    <row r="11">
      <c r="A11" s="24" t="inlineStr">
        <is>
          <t>Tax Rate</t>
        </is>
      </c>
      <c r="B11" s="44" t="inlineStr">
        <is>
          <t>0%</t>
        </is>
      </c>
      <c r="C11" s="44" t="inlineStr">
        <is>
          <t>0%</t>
        </is>
      </c>
      <c r="D11" s="44" t="inlineStr">
        <is>
          <t>0%</t>
        </is>
      </c>
      <c r="E11" s="44" t="inlineStr">
        <is>
          <t>15%</t>
        </is>
      </c>
      <c r="F11" s="44" t="inlineStr">
        <is>
          <t>21%</t>
        </is>
      </c>
      <c r="G11" s="6" t="inlineStr">
        <is>
          <t>NOL utilization</t>
        </is>
      </c>
    </row>
    <row r="13">
      <c r="A13" s="4" t="inlineStr">
        <is>
          <t xml:space="preserve">  INCOME STATEMENT FORECAST</t>
        </is>
      </c>
    </row>
    <row r="14">
      <c r="A14" s="20" t="inlineStr">
        <is>
          <t>Line Item</t>
        </is>
      </c>
      <c r="B14" s="20" t="inlineStr">
        <is>
          <t>2024A</t>
        </is>
      </c>
      <c r="C14" s="20" t="inlineStr">
        <is>
          <t>2025E</t>
        </is>
      </c>
      <c r="D14" s="20" t="inlineStr">
        <is>
          <t>2026E</t>
        </is>
      </c>
      <c r="E14" s="20" t="inlineStr">
        <is>
          <t>2027E</t>
        </is>
      </c>
      <c r="F14" s="20" t="inlineStr">
        <is>
          <t>2028E</t>
        </is>
      </c>
      <c r="G14" s="20" t="inlineStr">
        <is>
          <t>2029E</t>
        </is>
      </c>
    </row>
    <row r="15">
      <c r="A15" s="24" t="inlineStr">
        <is>
          <t>Revenue</t>
        </is>
      </c>
      <c r="B15" s="25" t="n">
        <v>1915</v>
      </c>
      <c r="C15" s="25" t="n">
        <v>4200</v>
      </c>
      <c r="D15" s="25" t="n">
        <v>7500</v>
      </c>
      <c r="E15" s="25" t="n">
        <v>11025</v>
      </c>
      <c r="F15" s="25" t="n">
        <v>14553</v>
      </c>
      <c r="G15" s="25" t="n">
        <v>17609</v>
      </c>
    </row>
    <row r="16">
      <c r="A16" s="26" t="inlineStr">
        <is>
          <t>Gross Profit</t>
        </is>
      </c>
      <c r="B16" s="30" t="n">
        <v>900</v>
      </c>
      <c r="C16" s="30" t="n">
        <v>2184</v>
      </c>
      <c r="D16" s="30" t="n">
        <v>4125</v>
      </c>
      <c r="E16" s="30" t="n">
        <v>6284</v>
      </c>
      <c r="F16" s="30" t="n">
        <v>8440</v>
      </c>
      <c r="G16" s="30" t="n">
        <v>10389</v>
      </c>
    </row>
    <row r="17">
      <c r="A17" s="9" t="inlineStr">
        <is>
          <t>Gross Margin</t>
        </is>
      </c>
      <c r="B17" s="6" t="inlineStr">
        <is>
          <t>47.0%</t>
        </is>
      </c>
      <c r="C17" s="6" t="inlineStr">
        <is>
          <t>52.0%</t>
        </is>
      </c>
      <c r="D17" s="6" t="inlineStr">
        <is>
          <t>55.0%</t>
        </is>
      </c>
      <c r="E17" s="6" t="inlineStr">
        <is>
          <t>57.0%</t>
        </is>
      </c>
      <c r="F17" s="6" t="inlineStr">
        <is>
          <t>58.0%</t>
        </is>
      </c>
      <c r="G17" s="6" t="inlineStr">
        <is>
          <t>59.0%</t>
        </is>
      </c>
    </row>
    <row r="18">
      <c r="A18" s="12" t="inlineStr">
        <is>
          <t>R&amp;D</t>
        </is>
      </c>
      <c r="B18" s="7" t="inlineStr">
        <is>
          <t>(120)</t>
        </is>
      </c>
      <c r="C18" s="7" t="inlineStr">
        <is>
          <t>(231)</t>
        </is>
      </c>
      <c r="D18" s="7" t="inlineStr">
        <is>
          <t>(375)</t>
        </is>
      </c>
      <c r="E18" s="7" t="inlineStr">
        <is>
          <t>(496)</t>
        </is>
      </c>
      <c r="F18" s="7" t="inlineStr">
        <is>
          <t>(582)</t>
        </is>
      </c>
      <c r="G18" s="7" t="inlineStr">
        <is>
          <t>(616)</t>
        </is>
      </c>
    </row>
    <row r="19">
      <c r="A19" s="9" t="inlineStr">
        <is>
          <t>Sales &amp; Marketing</t>
        </is>
      </c>
      <c r="B19" s="6" t="inlineStr">
        <is>
          <t>(85)</t>
        </is>
      </c>
      <c r="C19" s="6" t="inlineStr">
        <is>
          <t>(164)</t>
        </is>
      </c>
      <c r="D19" s="6" t="inlineStr">
        <is>
          <t>(263)</t>
        </is>
      </c>
      <c r="E19" s="6" t="inlineStr">
        <is>
          <t>(353)</t>
        </is>
      </c>
      <c r="F19" s="6" t="inlineStr">
        <is>
          <t>(436)</t>
        </is>
      </c>
      <c r="G19" s="6" t="inlineStr">
        <is>
          <t>(493)</t>
        </is>
      </c>
    </row>
    <row r="20">
      <c r="A20" s="12" t="inlineStr">
        <is>
          <t>G&amp;A</t>
        </is>
      </c>
      <c r="B20" s="7" t="inlineStr">
        <is>
          <t>(185)</t>
        </is>
      </c>
      <c r="C20" s="7" t="inlineStr">
        <is>
          <t>(311)</t>
        </is>
      </c>
      <c r="D20" s="7" t="inlineStr">
        <is>
          <t>(488)</t>
        </is>
      </c>
      <c r="E20" s="7" t="inlineStr">
        <is>
          <t>(606)</t>
        </is>
      </c>
      <c r="F20" s="7" t="inlineStr">
        <is>
          <t>(728)</t>
        </is>
      </c>
      <c r="G20" s="7" t="inlineStr">
        <is>
          <t>(793)</t>
        </is>
      </c>
    </row>
    <row r="21">
      <c r="A21" s="24" t="inlineStr">
        <is>
          <t>EBITDA</t>
        </is>
      </c>
      <c r="B21" s="25" t="n">
        <v>510</v>
      </c>
      <c r="C21" s="25" t="n">
        <v>1479</v>
      </c>
      <c r="D21" s="25" t="n">
        <v>2638</v>
      </c>
      <c r="E21" s="25" t="n">
        <v>5062</v>
      </c>
      <c r="F21" s="25" t="n">
        <v>7052</v>
      </c>
      <c r="G21" s="25" t="n">
        <v>8820</v>
      </c>
    </row>
    <row r="22">
      <c r="A22" s="12" t="inlineStr">
        <is>
          <t>D&amp;A (GPU fleet)</t>
        </is>
      </c>
      <c r="B22" s="7" t="inlineStr">
        <is>
          <t>(1380)</t>
        </is>
      </c>
      <c r="C22" s="7" t="inlineStr">
        <is>
          <t>(1701)</t>
        </is>
      </c>
      <c r="D22" s="7" t="inlineStr">
        <is>
          <t>(2850)</t>
        </is>
      </c>
      <c r="E22" s="7" t="inlineStr">
        <is>
          <t>(3859)</t>
        </is>
      </c>
      <c r="F22" s="7" t="inlineStr">
        <is>
          <t>(4657)</t>
        </is>
      </c>
      <c r="G22" s="7" t="inlineStr">
        <is>
          <t>(4931)</t>
        </is>
      </c>
    </row>
    <row r="23">
      <c r="A23" s="24" t="inlineStr">
        <is>
          <t>EBIT</t>
        </is>
      </c>
      <c r="B23" s="28" t="n">
        <v>-870</v>
      </c>
      <c r="C23" s="28" t="n">
        <v>-222</v>
      </c>
      <c r="D23" s="28" t="n">
        <v>-212</v>
      </c>
      <c r="E23" s="25" t="n">
        <v>1203</v>
      </c>
      <c r="F23" s="25" t="n">
        <v>2395</v>
      </c>
      <c r="G23" s="25" t="n">
        <v>3889</v>
      </c>
    </row>
    <row r="24">
      <c r="A24" s="12" t="inlineStr">
        <is>
          <t>Interest Expense</t>
        </is>
      </c>
      <c r="B24" s="7" t="inlineStr">
        <is>
          <t>(530)</t>
        </is>
      </c>
      <c r="C24" s="7" t="inlineStr">
        <is>
          <t>(730)</t>
        </is>
      </c>
      <c r="D24" s="7" t="inlineStr">
        <is>
          <t>(880)</t>
        </is>
      </c>
      <c r="E24" s="7" t="inlineStr">
        <is>
          <t>(713)</t>
        </is>
      </c>
      <c r="F24" s="7" t="inlineStr">
        <is>
          <t>(665)</t>
        </is>
      </c>
      <c r="G24" s="7" t="inlineStr">
        <is>
          <t>(617)</t>
        </is>
      </c>
    </row>
    <row r="25">
      <c r="A25" s="24" t="inlineStr">
        <is>
          <t>Net Income</t>
        </is>
      </c>
      <c r="B25" s="28" t="n">
        <v>-1400</v>
      </c>
      <c r="C25" s="28" t="n">
        <v>-952</v>
      </c>
      <c r="D25" s="28" t="n">
        <v>-1092</v>
      </c>
      <c r="E25" s="25" t="n">
        <v>490</v>
      </c>
      <c r="F25" s="25" t="n">
        <v>1730</v>
      </c>
      <c r="G25" s="25" t="n">
        <v>3272</v>
      </c>
    </row>
    <row r="26">
      <c r="A26" s="12" t="inlineStr">
        <is>
          <t>EPS (diluted)</t>
        </is>
      </c>
      <c r="B26" s="7" t="inlineStr">
        <is>
          <t>$(3.37)</t>
        </is>
      </c>
      <c r="C26" s="7" t="inlineStr">
        <is>
          <t>$(2.29)</t>
        </is>
      </c>
      <c r="D26" s="7" t="inlineStr">
        <is>
          <t>$(2.63)</t>
        </is>
      </c>
      <c r="E26" s="7" t="inlineStr">
        <is>
          <t>$1.18</t>
        </is>
      </c>
      <c r="F26" s="7" t="inlineStr">
        <is>
          <t>$4.17</t>
        </is>
      </c>
      <c r="G26" s="7" t="inlineStr">
        <is>
          <t>$7.88</t>
        </is>
      </c>
    </row>
    <row r="28">
      <c r="A28" s="4" t="inlineStr">
        <is>
          <t xml:space="preserve">  FREE CASH FLOW SUMMARY</t>
        </is>
      </c>
    </row>
    <row r="29">
      <c r="A29" s="20" t="inlineStr"/>
      <c r="B29" s="20" t="inlineStr">
        <is>
          <t>2024A</t>
        </is>
      </c>
      <c r="C29" s="20" t="inlineStr">
        <is>
          <t>2025E</t>
        </is>
      </c>
      <c r="D29" s="20" t="inlineStr">
        <is>
          <t>2026E</t>
        </is>
      </c>
      <c r="E29" s="20" t="inlineStr">
        <is>
          <t>2027E</t>
        </is>
      </c>
      <c r="F29" s="20" t="inlineStr">
        <is>
          <t>2028E</t>
        </is>
      </c>
      <c r="G29" s="20" t="inlineStr">
        <is>
          <t>2029E</t>
        </is>
      </c>
    </row>
    <row r="30">
      <c r="A30" s="12" t="inlineStr">
        <is>
          <t>Net Income</t>
        </is>
      </c>
      <c r="B30" s="29" t="n">
        <v>-1400</v>
      </c>
      <c r="C30" s="29" t="n">
        <v>-952</v>
      </c>
      <c r="D30" s="29" t="n">
        <v>-1092</v>
      </c>
      <c r="E30" s="30" t="n">
        <v>490</v>
      </c>
      <c r="F30" s="30" t="n">
        <v>1730</v>
      </c>
      <c r="G30" s="30" t="n">
        <v>3272</v>
      </c>
    </row>
    <row r="31">
      <c r="A31" s="9" t="inlineStr">
        <is>
          <t>Add: D&amp;A</t>
        </is>
      </c>
      <c r="B31" s="25" t="n">
        <v>1380</v>
      </c>
      <c r="C31" s="25" t="n">
        <v>1701</v>
      </c>
      <c r="D31" s="25" t="n">
        <v>2850</v>
      </c>
      <c r="E31" s="25" t="n">
        <v>3859</v>
      </c>
      <c r="F31" s="25" t="n">
        <v>4657</v>
      </c>
      <c r="G31" s="25" t="n">
        <v>4931</v>
      </c>
    </row>
    <row r="32">
      <c r="A32" s="12" t="inlineStr">
        <is>
          <t>Change in NWC</t>
        </is>
      </c>
      <c r="B32" s="29" t="n">
        <v>-96</v>
      </c>
      <c r="C32" s="29" t="n">
        <v>-210</v>
      </c>
      <c r="D32" s="29" t="n">
        <v>-165</v>
      </c>
      <c r="E32" s="29" t="n">
        <v>-176</v>
      </c>
      <c r="F32" s="29" t="n">
        <v>-176</v>
      </c>
      <c r="G32" s="29" t="n">
        <v>-153</v>
      </c>
    </row>
    <row r="33">
      <c r="A33" s="9" t="inlineStr">
        <is>
          <t>Operating Cash Flow</t>
        </is>
      </c>
      <c r="B33" s="28" t="n">
        <v>-116</v>
      </c>
      <c r="C33" s="25" t="n">
        <v>539</v>
      </c>
      <c r="D33" s="25" t="n">
        <v>1593</v>
      </c>
      <c r="E33" s="25" t="n">
        <v>4173</v>
      </c>
      <c r="F33" s="25" t="n">
        <v>6211</v>
      </c>
      <c r="G33" s="25" t="n">
        <v>8050</v>
      </c>
    </row>
    <row r="34">
      <c r="A34" s="12" t="inlineStr">
        <is>
          <t>Capital Expenditures</t>
        </is>
      </c>
      <c r="B34" s="29" t="n">
        <v>-7000</v>
      </c>
      <c r="C34" s="29" t="n">
        <v>-10000</v>
      </c>
      <c r="D34" s="29" t="n">
        <v>-8000</v>
      </c>
      <c r="E34" s="29" t="n">
        <v>-6000</v>
      </c>
      <c r="F34" s="29" t="n">
        <v>-5000</v>
      </c>
      <c r="G34" s="29" t="n">
        <v>-4000</v>
      </c>
    </row>
    <row r="35">
      <c r="A35" s="24" t="inlineStr">
        <is>
          <t>Free Cash Flow</t>
        </is>
      </c>
      <c r="B35" s="28" t="n">
        <v>-7116</v>
      </c>
      <c r="C35" s="28" t="n">
        <v>-9461</v>
      </c>
      <c r="D35" s="28" t="n">
        <v>-6407</v>
      </c>
      <c r="E35" s="28" t="n">
        <v>-1827</v>
      </c>
      <c r="F35" s="25" t="n">
        <v>1211</v>
      </c>
      <c r="G35" s="25" t="n">
        <v>4050</v>
      </c>
    </row>
    <row r="40">
      <c r="A40" s="19" t="inlineStr">
        <is>
          <t>CoreWeave (CRWV) | Equity Research | Sentinel Investment | June 10, 2026 | Confidential</t>
        </is>
      </c>
    </row>
  </sheetData>
  <mergeCells count="4">
    <mergeCell ref="A13:G13"/>
    <mergeCell ref="A3:G3"/>
    <mergeCell ref="A28:G2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 xml:space="preserve">  VALUATION &amp; SCENARIOS</t>
        </is>
      </c>
    </row>
    <row r="3">
      <c r="A3" s="4" t="inlineStr">
        <is>
          <t xml:space="preserve">  WACC CALCULATION</t>
        </is>
      </c>
    </row>
    <row r="4">
      <c r="A4" s="20" t="inlineStr">
        <is>
          <t>Input</t>
        </is>
      </c>
      <c r="B4" s="20" t="inlineStr">
        <is>
          <t>Value</t>
        </is>
      </c>
      <c r="C4" s="20" t="inlineStr">
        <is>
          <t>Notes</t>
        </is>
      </c>
      <c r="D4" s="46" t="n"/>
    </row>
    <row r="5">
      <c r="A5" s="9" t="inlineStr">
        <is>
          <t>Risk-Free Rate (10Y UST)</t>
        </is>
      </c>
      <c r="B5" s="6" t="inlineStr">
        <is>
          <t>4.28%</t>
        </is>
      </c>
      <c r="C5" s="47" t="n"/>
      <c r="D5" s="47" t="n"/>
    </row>
    <row r="6">
      <c r="A6" s="12" t="inlineStr">
        <is>
          <t>Equity Risk Premium</t>
        </is>
      </c>
      <c r="B6" s="7" t="inlineStr">
        <is>
          <t>5.50%</t>
        </is>
      </c>
      <c r="C6" s="48" t="n"/>
      <c r="D6" s="48" t="n"/>
    </row>
    <row r="7">
      <c r="A7" s="9" t="inlineStr">
        <is>
          <t>Beta (Levered)</t>
        </is>
      </c>
      <c r="B7" s="6" t="inlineStr">
        <is>
          <t>1.85</t>
        </is>
      </c>
      <c r="C7" s="47" t="n"/>
      <c r="D7" s="47" t="n"/>
    </row>
    <row r="8">
      <c r="A8" s="12" t="inlineStr">
        <is>
          <t>Cost of Equity (CAPM)</t>
        </is>
      </c>
      <c r="B8" s="7">
        <f>4.28%+1.85×5.50% = 14.45%</f>
        <v/>
      </c>
      <c r="C8" s="48" t="n"/>
      <c r="D8" s="48" t="n"/>
    </row>
    <row r="9">
      <c r="A9" s="9" t="inlineStr">
        <is>
          <t>Pre-tax Cost of Debt</t>
        </is>
      </c>
      <c r="B9" s="6" t="inlineStr">
        <is>
          <t>8.50%</t>
        </is>
      </c>
      <c r="C9" s="47" t="n"/>
      <c r="D9" s="47" t="n"/>
    </row>
    <row r="10">
      <c r="A10" s="12" t="inlineStr">
        <is>
          <t>Tax Rate</t>
        </is>
      </c>
      <c r="B10" s="7" t="inlineStr">
        <is>
          <t>21%</t>
        </is>
      </c>
      <c r="C10" s="48" t="n"/>
      <c r="D10" s="48" t="n"/>
    </row>
    <row r="11">
      <c r="A11" s="9" t="inlineStr">
        <is>
          <t>After-tax Cost of Debt</t>
        </is>
      </c>
      <c r="B11" s="6" t="inlineStr">
        <is>
          <t>6.72%</t>
        </is>
      </c>
      <c r="C11" s="47" t="n"/>
      <c r="D11" s="47" t="n"/>
    </row>
    <row r="12">
      <c r="A12" s="12" t="inlineStr">
        <is>
          <t>Equity Weight</t>
        </is>
      </c>
      <c r="B12" s="7" t="inlineStr">
        <is>
          <t>82%</t>
        </is>
      </c>
      <c r="C12" s="48" t="n"/>
      <c r="D12" s="48" t="n"/>
    </row>
    <row r="13">
      <c r="A13" s="9" t="inlineStr">
        <is>
          <t>Debt Weight</t>
        </is>
      </c>
      <c r="B13" s="6" t="inlineStr">
        <is>
          <t>18%</t>
        </is>
      </c>
      <c r="C13" s="47" t="n"/>
      <c r="D13" s="47" t="n"/>
    </row>
    <row r="14">
      <c r="A14" s="26" t="inlineStr">
        <is>
          <t>WACC</t>
        </is>
      </c>
      <c r="B14" s="11" t="inlineStr">
        <is>
          <t>13.1%</t>
        </is>
      </c>
      <c r="C14" s="48" t="n"/>
      <c r="D14" s="48" t="n"/>
    </row>
    <row r="16">
      <c r="A16" s="4" t="inlineStr">
        <is>
          <t xml:space="preserve">  DCF — FREE CASH FLOW PROJECTIONS (USD M)</t>
        </is>
      </c>
    </row>
    <row r="17">
      <c r="A17" s="20" t="inlineStr">
        <is>
          <t>Year</t>
        </is>
      </c>
      <c r="B17" s="20" t="inlineStr">
        <is>
          <t>Revenue</t>
        </is>
      </c>
      <c r="C17" s="20" t="inlineStr">
        <is>
          <t>EBITDA</t>
        </is>
      </c>
      <c r="D17" s="20" t="inlineStr">
        <is>
          <t>CapEx</t>
        </is>
      </c>
      <c r="E17" s="20" t="inlineStr">
        <is>
          <t>Δ NWC</t>
        </is>
      </c>
      <c r="F17" s="20" t="inlineStr">
        <is>
          <t>UFCF</t>
        </is>
      </c>
      <c r="G17" s="20" t="inlineStr">
        <is>
          <t>PV Factor</t>
        </is>
      </c>
      <c r="H17" s="20" t="inlineStr">
        <is>
          <t>PV of UFCF</t>
        </is>
      </c>
    </row>
    <row r="18">
      <c r="A18" s="27" t="inlineStr">
        <is>
          <t>2025</t>
        </is>
      </c>
      <c r="B18" s="30" t="n">
        <v>4200</v>
      </c>
      <c r="C18" s="30" t="n">
        <v>1479</v>
      </c>
      <c r="D18" s="29" t="n">
        <v>-10000</v>
      </c>
      <c r="E18" s="29" t="n">
        <v>-210</v>
      </c>
      <c r="F18" s="29" t="n">
        <v>-8731</v>
      </c>
      <c r="G18" s="49" t="n">
        <v>0.885</v>
      </c>
      <c r="H18" s="29" t="n">
        <v>-7725</v>
      </c>
    </row>
    <row r="19">
      <c r="A19" s="31" t="inlineStr">
        <is>
          <t>2026</t>
        </is>
      </c>
      <c r="B19" s="25" t="n">
        <v>7500</v>
      </c>
      <c r="C19" s="25" t="n">
        <v>2638</v>
      </c>
      <c r="D19" s="28" t="n">
        <v>-8000</v>
      </c>
      <c r="E19" s="28" t="n">
        <v>-165</v>
      </c>
      <c r="F19" s="28" t="n">
        <v>-5527</v>
      </c>
      <c r="G19" s="50" t="n">
        <v>0.783</v>
      </c>
      <c r="H19" s="28" t="n">
        <v>-4328</v>
      </c>
    </row>
    <row r="20">
      <c r="A20" s="27" t="inlineStr">
        <is>
          <t>2027</t>
        </is>
      </c>
      <c r="B20" s="30" t="n">
        <v>11025</v>
      </c>
      <c r="C20" s="30" t="n">
        <v>5062</v>
      </c>
      <c r="D20" s="29" t="n">
        <v>-6000</v>
      </c>
      <c r="E20" s="29" t="n">
        <v>-176</v>
      </c>
      <c r="F20" s="29" t="n">
        <v>-1114</v>
      </c>
      <c r="G20" s="49" t="n">
        <v>0.6919999999999999</v>
      </c>
      <c r="H20" s="29" t="n">
        <v>-771</v>
      </c>
    </row>
    <row r="21">
      <c r="A21" s="31" t="inlineStr">
        <is>
          <t>2028</t>
        </is>
      </c>
      <c r="B21" s="25" t="n">
        <v>14553</v>
      </c>
      <c r="C21" s="25" t="n">
        <v>7052</v>
      </c>
      <c r="D21" s="28" t="n">
        <v>-5000</v>
      </c>
      <c r="E21" s="28" t="n">
        <v>-176</v>
      </c>
      <c r="F21" s="25" t="n">
        <v>1876</v>
      </c>
      <c r="G21" s="50" t="n">
        <v>0.612</v>
      </c>
      <c r="H21" s="25" t="n">
        <v>1148</v>
      </c>
    </row>
    <row r="22">
      <c r="A22" s="27" t="inlineStr">
        <is>
          <t>2029</t>
        </is>
      </c>
      <c r="B22" s="30" t="n">
        <v>17609</v>
      </c>
      <c r="C22" s="30" t="n">
        <v>8820</v>
      </c>
      <c r="D22" s="29" t="n">
        <v>-4000</v>
      </c>
      <c r="E22" s="29" t="n">
        <v>-153</v>
      </c>
      <c r="F22" s="30" t="n">
        <v>4667</v>
      </c>
      <c r="G22" s="49" t="n">
        <v>0.541</v>
      </c>
      <c r="H22" s="30" t="n">
        <v>2525</v>
      </c>
    </row>
    <row r="23">
      <c r="A23" s="31" t="inlineStr">
        <is>
          <t>2030</t>
        </is>
      </c>
      <c r="B23" s="25" t="n">
        <v>20500</v>
      </c>
      <c r="C23" s="25" t="n">
        <v>10455</v>
      </c>
      <c r="D23" s="28" t="n">
        <v>-3500</v>
      </c>
      <c r="E23" s="28" t="n">
        <v>-145</v>
      </c>
      <c r="F23" s="25" t="n">
        <v>6810</v>
      </c>
      <c r="G23" s="50" t="n">
        <v>0.479</v>
      </c>
      <c r="H23" s="25" t="n">
        <v>3260</v>
      </c>
    </row>
    <row r="24">
      <c r="A24" s="27" t="inlineStr">
        <is>
          <t>2031</t>
        </is>
      </c>
      <c r="B24" s="30" t="n">
        <v>23000</v>
      </c>
      <c r="C24" s="30" t="n">
        <v>11730</v>
      </c>
      <c r="D24" s="29" t="n">
        <v>-3200</v>
      </c>
      <c r="E24" s="29" t="n">
        <v>-125</v>
      </c>
      <c r="F24" s="30" t="n">
        <v>8405</v>
      </c>
      <c r="G24" s="49" t="n">
        <v>0.423</v>
      </c>
      <c r="H24" s="30" t="n">
        <v>3555</v>
      </c>
    </row>
    <row r="25">
      <c r="A25" s="31" t="inlineStr">
        <is>
          <t>2032</t>
        </is>
      </c>
      <c r="B25" s="25" t="n">
        <v>25000</v>
      </c>
      <c r="C25" s="25" t="n">
        <v>13125</v>
      </c>
      <c r="D25" s="28" t="n">
        <v>-3000</v>
      </c>
      <c r="E25" s="28" t="n">
        <v>-100</v>
      </c>
      <c r="F25" s="25" t="n">
        <v>9925</v>
      </c>
      <c r="G25" s="50" t="n">
        <v>0.374</v>
      </c>
      <c r="H25" s="25" t="n">
        <v>3712</v>
      </c>
    </row>
    <row r="26">
      <c r="A26" s="27" t="inlineStr">
        <is>
          <t>2033</t>
        </is>
      </c>
      <c r="B26" s="30" t="n">
        <v>26500</v>
      </c>
      <c r="C26" s="30" t="n">
        <v>14045</v>
      </c>
      <c r="D26" s="29" t="n">
        <v>-2800</v>
      </c>
      <c r="E26" s="29" t="n">
        <v>-75</v>
      </c>
      <c r="F26" s="30" t="n">
        <v>11170</v>
      </c>
      <c r="G26" s="49" t="n">
        <v>0.331</v>
      </c>
      <c r="H26" s="30" t="n">
        <v>3697</v>
      </c>
    </row>
    <row r="27">
      <c r="A27" s="31" t="inlineStr">
        <is>
          <t>2034</t>
        </is>
      </c>
      <c r="B27" s="25" t="n">
        <v>27500</v>
      </c>
      <c r="C27" s="25" t="n">
        <v>14713</v>
      </c>
      <c r="D27" s="28" t="n">
        <v>-2600</v>
      </c>
      <c r="E27" s="28" t="n">
        <v>-50</v>
      </c>
      <c r="F27" s="25" t="n">
        <v>12063</v>
      </c>
      <c r="G27" s="50" t="n">
        <v>0.293</v>
      </c>
      <c r="H27" s="25" t="n">
        <v>3534</v>
      </c>
    </row>
    <row r="29">
      <c r="A29" s="51" t="inlineStr">
        <is>
          <t>Sum of PV FCFs</t>
        </is>
      </c>
      <c r="B29" s="52" t="n">
        <v>8607</v>
      </c>
    </row>
    <row r="30">
      <c r="A30" s="51" t="inlineStr">
        <is>
          <t>Terminal Value (4% growth)</t>
        </is>
      </c>
      <c r="B30" s="52" t="n">
        <v>140476</v>
      </c>
    </row>
    <row r="31">
      <c r="A31" s="51" t="inlineStr">
        <is>
          <t>PV of Terminal Value</t>
        </is>
      </c>
      <c r="B31" s="52" t="n">
        <v>41180</v>
      </c>
    </row>
    <row r="32">
      <c r="A32" s="26" t="inlineStr">
        <is>
          <t>Enterprise Value</t>
        </is>
      </c>
      <c r="B32" s="30" t="n">
        <v>49787</v>
      </c>
    </row>
    <row r="33">
      <c r="A33" s="51" t="inlineStr">
        <is>
          <t>Less: Net Debt</t>
        </is>
      </c>
      <c r="B33" s="53" t="n">
        <v>-7500</v>
      </c>
    </row>
    <row r="34">
      <c r="A34" s="51" t="inlineStr">
        <is>
          <t>Equity Value</t>
        </is>
      </c>
      <c r="B34" s="52" t="n">
        <v>42287</v>
      </c>
    </row>
    <row r="35">
      <c r="A35" s="51" t="inlineStr">
        <is>
          <t>Shares Outstanding (M)</t>
        </is>
      </c>
      <c r="B35" s="54" t="n">
        <v>415</v>
      </c>
    </row>
    <row r="36">
      <c r="A36" s="55" t="inlineStr">
        <is>
          <t>DCF Implied Price</t>
        </is>
      </c>
      <c r="B36" s="56" t="n">
        <v>101.9</v>
      </c>
    </row>
    <row r="38">
      <c r="A38" s="4" t="inlineStr">
        <is>
          <t xml:space="preserve">  SENSITIVITY: PRICE TARGET vs WACC &amp; TERMINAL GROWTH</t>
        </is>
      </c>
    </row>
    <row r="39">
      <c r="A39" s="54" t="inlineStr">
        <is>
          <t>WACC \ TGR</t>
        </is>
      </c>
      <c r="B39" s="5" t="inlineStr">
        <is>
          <t>2%</t>
        </is>
      </c>
      <c r="C39" s="5" t="inlineStr">
        <is>
          <t>3%</t>
        </is>
      </c>
      <c r="D39" s="5" t="inlineStr">
        <is>
          <t>4%</t>
        </is>
      </c>
      <c r="E39" s="5" t="inlineStr">
        <is>
          <t>5%</t>
        </is>
      </c>
      <c r="F39" s="5" t="inlineStr">
        <is>
          <t>6%</t>
        </is>
      </c>
    </row>
    <row r="40">
      <c r="A40" s="5" t="inlineStr">
        <is>
          <t>10%</t>
        </is>
      </c>
      <c r="B40" s="57" t="n">
        <v>146</v>
      </c>
      <c r="C40" s="57" t="n">
        <v>168</v>
      </c>
      <c r="D40" s="57" t="n">
        <v>197</v>
      </c>
      <c r="E40" s="57" t="n">
        <v>238</v>
      </c>
      <c r="F40" s="57" t="n">
        <v>300</v>
      </c>
    </row>
    <row r="41">
      <c r="A41" s="5" t="inlineStr">
        <is>
          <t>11%</t>
        </is>
      </c>
      <c r="B41" s="58" t="n">
        <v>119</v>
      </c>
      <c r="C41" s="57" t="n">
        <v>134</v>
      </c>
      <c r="D41" s="57" t="n">
        <v>155</v>
      </c>
      <c r="E41" s="57" t="n">
        <v>182</v>
      </c>
      <c r="F41" s="57" t="n">
        <v>220</v>
      </c>
    </row>
    <row r="42">
      <c r="A42" s="5" t="inlineStr">
        <is>
          <t>12%</t>
        </is>
      </c>
      <c r="B42" s="58" t="n">
        <v>98</v>
      </c>
      <c r="C42" s="58" t="n">
        <v>110</v>
      </c>
      <c r="D42" s="58" t="n">
        <v>124</v>
      </c>
      <c r="E42" s="57" t="n">
        <v>143</v>
      </c>
      <c r="F42" s="57" t="n">
        <v>168</v>
      </c>
    </row>
    <row r="43">
      <c r="A43" s="5" t="inlineStr">
        <is>
          <t>13%</t>
        </is>
      </c>
      <c r="B43" s="58" t="n">
        <v>82</v>
      </c>
      <c r="C43" s="58" t="n">
        <v>91</v>
      </c>
      <c r="D43" s="58" t="n">
        <v>102</v>
      </c>
      <c r="E43" s="58" t="n">
        <v>115</v>
      </c>
      <c r="F43" s="57" t="n">
        <v>132</v>
      </c>
    </row>
    <row r="44">
      <c r="A44" s="5" t="inlineStr">
        <is>
          <t>14%</t>
        </is>
      </c>
      <c r="B44" s="59" t="n">
        <v>69</v>
      </c>
      <c r="C44" s="59" t="n">
        <v>76</v>
      </c>
      <c r="D44" s="58" t="n">
        <v>84</v>
      </c>
      <c r="E44" s="58" t="n">
        <v>94</v>
      </c>
      <c r="F44" s="58" t="n">
        <v>107</v>
      </c>
    </row>
    <row r="45">
      <c r="A45" s="5" t="inlineStr">
        <is>
          <t>15%</t>
        </is>
      </c>
      <c r="B45" s="59" t="n">
        <v>59</v>
      </c>
      <c r="C45" s="59" t="n">
        <v>64</v>
      </c>
      <c r="D45" s="59" t="n">
        <v>71</v>
      </c>
      <c r="E45" s="59" t="n">
        <v>78</v>
      </c>
      <c r="F45" s="58" t="n">
        <v>87</v>
      </c>
    </row>
    <row r="47">
      <c r="A47" s="4" t="inlineStr">
        <is>
          <t xml:space="preserve">  TARGET PRICE SUMMARY</t>
        </is>
      </c>
    </row>
    <row r="48">
      <c r="A48" s="20" t="inlineStr">
        <is>
          <t>Method</t>
        </is>
      </c>
      <c r="B48" s="20" t="inlineStr">
        <is>
          <t>Weight</t>
        </is>
      </c>
      <c r="C48" s="20" t="inlineStr">
        <is>
          <t>Implied EV</t>
        </is>
      </c>
      <c r="D48" s="20" t="inlineStr">
        <is>
          <t>Implied Price</t>
        </is>
      </c>
      <c r="E48" s="20" t="inlineStr">
        <is>
          <t>Notes</t>
        </is>
      </c>
    </row>
    <row r="49">
      <c r="A49" s="9" t="inlineStr">
        <is>
          <t>DCF (10-yr)</t>
        </is>
      </c>
      <c r="B49" s="6" t="inlineStr">
        <is>
          <t>50%</t>
        </is>
      </c>
      <c r="C49" s="6" t="inlineStr">
        <is>
          <t>$50B</t>
        </is>
      </c>
      <c r="D49" s="6" t="inlineStr">
        <is>
          <t>$107</t>
        </is>
      </c>
      <c r="E49" s="6" t="inlineStr">
        <is>
          <t>WACC 13.1%, TGR 4%</t>
        </is>
      </c>
    </row>
    <row r="50">
      <c r="A50" s="12" t="inlineStr">
        <is>
          <t>EV/Revenue 2026E (8.0x)</t>
        </is>
      </c>
      <c r="B50" s="7" t="inlineStr">
        <is>
          <t>30%</t>
        </is>
      </c>
      <c r="C50" s="7" t="inlineStr">
        <is>
          <t>$60B</t>
        </is>
      </c>
      <c r="D50" s="7" t="inlineStr">
        <is>
          <t>$126</t>
        </is>
      </c>
      <c r="E50" s="7" t="inlineStr">
        <is>
          <t>Premium to AI peers</t>
        </is>
      </c>
    </row>
    <row r="51">
      <c r="A51" s="9" t="inlineStr">
        <is>
          <t>Peer EV/Rev (10.5x mean)</t>
        </is>
      </c>
      <c r="B51" s="6" t="inlineStr">
        <is>
          <t>20%</t>
        </is>
      </c>
      <c r="C51" s="6" t="inlineStr">
        <is>
          <t>$79B</t>
        </is>
      </c>
      <c r="D51" s="6" t="inlineStr">
        <is>
          <t>$172</t>
        </is>
      </c>
      <c r="E51" s="6" t="inlineStr">
        <is>
          <t>SNOW/NET/DDOG comps</t>
        </is>
      </c>
    </row>
    <row r="52">
      <c r="A52" s="55" t="inlineStr">
        <is>
          <t>BLENDED TARGET</t>
        </is>
      </c>
      <c r="B52" s="60" t="inlineStr">
        <is>
          <t>100%</t>
        </is>
      </c>
      <c r="C52" s="60" t="inlineStr">
        <is>
          <t>—</t>
        </is>
      </c>
      <c r="D52" s="61" t="inlineStr">
        <is>
          <t>$125</t>
        </is>
      </c>
      <c r="E52" s="60" t="inlineStr">
        <is>
          <t>Probability-weighted</t>
        </is>
      </c>
    </row>
    <row r="58">
      <c r="A58" s="19" t="inlineStr">
        <is>
          <t>CoreWeave (CRWV) | Equity Research | Sentinel Investment | June 10, 2026 | Confidential</t>
        </is>
      </c>
    </row>
  </sheetData>
  <mergeCells count="6">
    <mergeCell ref="A38:H38"/>
    <mergeCell ref="A16:H16"/>
    <mergeCell ref="A3:D3"/>
    <mergeCell ref="A47:E47"/>
    <mergeCell ref="A1:H1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2026-06-10T19:43:36Z</dcterms:created>
  <dcterms:modified xsi:type="dcterms:W3CDTF">2026-06-10T19:43:36Z</dcterms:modified>
</cp:coreProperties>
</file>